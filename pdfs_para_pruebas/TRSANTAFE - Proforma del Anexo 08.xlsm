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.shortcut-targets-by-id\1IJcu0kLkmrobzwv4H5xbIzI9olzzfXCb\02 Inandes Factor Capital SAC\001 Operaciones factoring\191 TRANSPORTES SANTA FE DEL NORTE\Anexo 08\"/>
    </mc:Choice>
  </mc:AlternateContent>
  <xr:revisionPtr revIDLastSave="0" documentId="13_ncr:1_{D7321A91-D90A-4CD7-AD74-F11D5B0A87F0}" xr6:coauthVersionLast="47" xr6:coauthVersionMax="47" xr10:uidLastSave="{00000000-0000-0000-0000-000000000000}"/>
  <bookViews>
    <workbookView xWindow="20370" yWindow="-120" windowWidth="29040" windowHeight="15720" xr2:uid="{AB1F6549-B8A0-4CA6-98ED-90E09129E54E}"/>
  </bookViews>
  <sheets>
    <sheet name="CLIENTE" sheetId="2" r:id="rId1"/>
    <sheet name="NSG" sheetId="3" r:id="rId2"/>
    <sheet name="LETRA" sheetId="6" r:id="rId3"/>
    <sheet name="LIQUIDACION" sheetId="4" r:id="rId4"/>
    <sheet name="Datos" sheetId="5" r:id="rId5"/>
  </sheets>
  <definedNames>
    <definedName name="_xlnm.Print_Area" localSheetId="0">CLIENTE!$A$1:$I$123</definedName>
    <definedName name="_xlnm.Print_Area" localSheetId="2">LETRA!$A$1:$J$28</definedName>
    <definedName name="_xlnm.Print_Area" localSheetId="3">LIQUIDACION!$A$1:$J$15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" i="2" l="1"/>
  <c r="F59" i="2"/>
  <c r="B60" i="2"/>
  <c r="F60" i="2"/>
  <c r="B61" i="2"/>
  <c r="F61" i="2"/>
  <c r="B62" i="2"/>
  <c r="F62" i="2"/>
  <c r="B63" i="2"/>
  <c r="F63" i="2"/>
  <c r="B64" i="2"/>
  <c r="F64" i="2"/>
  <c r="B65" i="2"/>
  <c r="F65" i="2"/>
  <c r="B66" i="2"/>
  <c r="F66" i="2"/>
  <c r="B67" i="2"/>
  <c r="F67" i="2"/>
  <c r="B68" i="2"/>
  <c r="F68" i="2"/>
  <c r="B69" i="2"/>
  <c r="F69" i="2"/>
  <c r="B70" i="2"/>
  <c r="F70" i="2"/>
  <c r="B71" i="2"/>
  <c r="F71" i="2"/>
  <c r="B72" i="2"/>
  <c r="F72" i="2"/>
  <c r="B73" i="2"/>
  <c r="F73" i="2"/>
  <c r="B74" i="2"/>
  <c r="F74" i="2"/>
  <c r="B75" i="2"/>
  <c r="F75" i="2"/>
  <c r="B76" i="2"/>
  <c r="F76" i="2"/>
  <c r="B77" i="2"/>
  <c r="F77" i="2"/>
  <c r="B78" i="2"/>
  <c r="F78" i="2"/>
  <c r="B79" i="2"/>
  <c r="F79" i="2"/>
  <c r="B80" i="2"/>
  <c r="F80" i="2"/>
  <c r="B81" i="2"/>
  <c r="F81" i="2"/>
  <c r="B82" i="2"/>
  <c r="F82" i="2"/>
  <c r="B83" i="2"/>
  <c r="F83" i="2"/>
  <c r="B84" i="2"/>
  <c r="F84" i="2"/>
  <c r="B85" i="2"/>
  <c r="F85" i="2"/>
  <c r="B86" i="2"/>
  <c r="F86" i="2"/>
  <c r="B87" i="2"/>
  <c r="F87" i="2"/>
  <c r="B88" i="2"/>
  <c r="F88" i="2"/>
  <c r="B89" i="2"/>
  <c r="F89" i="2"/>
  <c r="B90" i="2"/>
  <c r="F90" i="2"/>
  <c r="B91" i="2"/>
  <c r="F91" i="2"/>
  <c r="B92" i="2"/>
  <c r="F92" i="2"/>
  <c r="B93" i="2"/>
  <c r="F93" i="2"/>
  <c r="B94" i="3"/>
  <c r="B58" i="3"/>
  <c r="G16" i="3"/>
  <c r="B14" i="2"/>
  <c r="C3" i="5"/>
  <c r="K17" i="3"/>
  <c r="J4" i="4"/>
  <c r="B11" i="5" l="1"/>
  <c r="D11" i="5" s="1"/>
  <c r="B6" i="5"/>
  <c r="B4" i="5"/>
  <c r="C11" i="5" l="1"/>
  <c r="B5" i="4" l="1"/>
  <c r="B7" i="4" l="1"/>
  <c r="B4" i="4" l="1"/>
  <c r="I107" i="3"/>
  <c r="F107" i="3"/>
  <c r="B107" i="3"/>
  <c r="B93" i="3"/>
  <c r="G93" i="3" s="1"/>
  <c r="B92" i="3"/>
  <c r="B91" i="3"/>
  <c r="H91" i="3" s="1"/>
  <c r="B90" i="3"/>
  <c r="H90" i="3" s="1"/>
  <c r="B89" i="3"/>
  <c r="B88" i="3"/>
  <c r="H88" i="3" s="1"/>
  <c r="B87" i="3"/>
  <c r="H87" i="3" s="1"/>
  <c r="B86" i="3"/>
  <c r="G86" i="3" s="1"/>
  <c r="B85" i="3"/>
  <c r="C85" i="3" s="1"/>
  <c r="C84" i="2" s="1"/>
  <c r="B84" i="3"/>
  <c r="B83" i="3"/>
  <c r="B82" i="3"/>
  <c r="H82" i="3" s="1"/>
  <c r="B81" i="3"/>
  <c r="G81" i="3" s="1"/>
  <c r="B80" i="3"/>
  <c r="H80" i="3" s="1"/>
  <c r="B79" i="3"/>
  <c r="H79" i="3" s="1"/>
  <c r="B78" i="3"/>
  <c r="F78" i="3" s="1"/>
  <c r="B77" i="3"/>
  <c r="G77" i="3" s="1"/>
  <c r="B76" i="3"/>
  <c r="E76" i="3" s="1"/>
  <c r="E75" i="2" s="1"/>
  <c r="B75" i="3"/>
  <c r="H75" i="3" s="1"/>
  <c r="B74" i="3"/>
  <c r="B73" i="3"/>
  <c r="F73" i="3" s="1"/>
  <c r="B72" i="3"/>
  <c r="H72" i="3" s="1"/>
  <c r="B71" i="3"/>
  <c r="F71" i="3" s="1"/>
  <c r="B70" i="3"/>
  <c r="B69" i="3"/>
  <c r="G69" i="3" s="1"/>
  <c r="B68" i="3"/>
  <c r="B67" i="3"/>
  <c r="H67" i="3" s="1"/>
  <c r="B66" i="3"/>
  <c r="H66" i="3" s="1"/>
  <c r="B65" i="3"/>
  <c r="C65" i="3" s="1"/>
  <c r="B64" i="3"/>
  <c r="B63" i="3"/>
  <c r="B62" i="3"/>
  <c r="B61" i="3"/>
  <c r="B60" i="3"/>
  <c r="B59" i="3"/>
  <c r="B58" i="2" s="1"/>
  <c r="N53" i="3"/>
  <c r="K53" i="3"/>
  <c r="G53" i="3"/>
  <c r="F51" i="2" s="1"/>
  <c r="E53" i="3"/>
  <c r="C51" i="2" s="1"/>
  <c r="N52" i="3"/>
  <c r="K52" i="3"/>
  <c r="M52" i="3" s="1"/>
  <c r="G52" i="3"/>
  <c r="F50" i="2" s="1"/>
  <c r="E52" i="3"/>
  <c r="F52" i="3" s="1"/>
  <c r="E50" i="2" s="1"/>
  <c r="N51" i="3"/>
  <c r="K51" i="3"/>
  <c r="M51" i="3" s="1"/>
  <c r="G51" i="3"/>
  <c r="F49" i="2" s="1"/>
  <c r="E51" i="3"/>
  <c r="F51" i="3" s="1"/>
  <c r="E49" i="2" s="1"/>
  <c r="N50" i="3"/>
  <c r="K50" i="3"/>
  <c r="M50" i="3" s="1"/>
  <c r="G50" i="3"/>
  <c r="F48" i="2" s="1"/>
  <c r="E50" i="3"/>
  <c r="F50" i="3" s="1"/>
  <c r="E48" i="2" s="1"/>
  <c r="N49" i="3"/>
  <c r="K49" i="3"/>
  <c r="M49" i="3" s="1"/>
  <c r="G49" i="3"/>
  <c r="F47" i="2" s="1"/>
  <c r="E49" i="3"/>
  <c r="F49" i="3" s="1"/>
  <c r="E47" i="2" s="1"/>
  <c r="N48" i="3"/>
  <c r="K48" i="3"/>
  <c r="M48" i="3" s="1"/>
  <c r="G48" i="3"/>
  <c r="F46" i="2" s="1"/>
  <c r="E48" i="3"/>
  <c r="F48" i="3" s="1"/>
  <c r="E46" i="2" s="1"/>
  <c r="N47" i="3"/>
  <c r="K47" i="3"/>
  <c r="M47" i="3" s="1"/>
  <c r="G47" i="3"/>
  <c r="F45" i="2" s="1"/>
  <c r="E47" i="3"/>
  <c r="F47" i="3" s="1"/>
  <c r="E45" i="2" s="1"/>
  <c r="N46" i="3"/>
  <c r="K46" i="3"/>
  <c r="M46" i="3" s="1"/>
  <c r="G46" i="3"/>
  <c r="F44" i="2" s="1"/>
  <c r="E46" i="3"/>
  <c r="F46" i="3" s="1"/>
  <c r="E44" i="2" s="1"/>
  <c r="N45" i="3"/>
  <c r="K45" i="3"/>
  <c r="M45" i="3" s="1"/>
  <c r="G45" i="3"/>
  <c r="F43" i="2" s="1"/>
  <c r="E45" i="3"/>
  <c r="F45" i="3" s="1"/>
  <c r="E43" i="2" s="1"/>
  <c r="N44" i="3"/>
  <c r="K44" i="3"/>
  <c r="M44" i="3" s="1"/>
  <c r="G44" i="3"/>
  <c r="F42" i="2" s="1"/>
  <c r="E44" i="3"/>
  <c r="F44" i="3" s="1"/>
  <c r="E42" i="2" s="1"/>
  <c r="N43" i="3"/>
  <c r="K43" i="3"/>
  <c r="M43" i="3" s="1"/>
  <c r="G43" i="3"/>
  <c r="F41" i="2" s="1"/>
  <c r="E43" i="3"/>
  <c r="C41" i="2" s="1"/>
  <c r="N42" i="3"/>
  <c r="K42" i="3"/>
  <c r="M42" i="3" s="1"/>
  <c r="G42" i="3"/>
  <c r="F40" i="2" s="1"/>
  <c r="E42" i="3"/>
  <c r="F42" i="3" s="1"/>
  <c r="E40" i="2" s="1"/>
  <c r="N41" i="3"/>
  <c r="K41" i="3"/>
  <c r="M41" i="3" s="1"/>
  <c r="G41" i="3"/>
  <c r="F39" i="2" s="1"/>
  <c r="E41" i="3"/>
  <c r="C39" i="2" s="1"/>
  <c r="N40" i="3"/>
  <c r="K40" i="3"/>
  <c r="M40" i="3" s="1"/>
  <c r="G40" i="3"/>
  <c r="F38" i="2" s="1"/>
  <c r="E40" i="3"/>
  <c r="F40" i="3" s="1"/>
  <c r="E38" i="2" s="1"/>
  <c r="N39" i="3"/>
  <c r="K39" i="3"/>
  <c r="M39" i="3" s="1"/>
  <c r="G39" i="3"/>
  <c r="F37" i="2" s="1"/>
  <c r="E39" i="3"/>
  <c r="F39" i="3" s="1"/>
  <c r="E37" i="2" s="1"/>
  <c r="N38" i="3"/>
  <c r="K38" i="3"/>
  <c r="M38" i="3" s="1"/>
  <c r="G38" i="3"/>
  <c r="F36" i="2" s="1"/>
  <c r="E38" i="3"/>
  <c r="F38" i="3" s="1"/>
  <c r="E36" i="2" s="1"/>
  <c r="N37" i="3"/>
  <c r="K37" i="3"/>
  <c r="M37" i="3" s="1"/>
  <c r="G37" i="3"/>
  <c r="F35" i="2" s="1"/>
  <c r="E37" i="3"/>
  <c r="F37" i="3" s="1"/>
  <c r="E35" i="2" s="1"/>
  <c r="N36" i="3"/>
  <c r="K36" i="3"/>
  <c r="M36" i="3" s="1"/>
  <c r="G36" i="3"/>
  <c r="F34" i="2" s="1"/>
  <c r="E36" i="3"/>
  <c r="F36" i="3" s="1"/>
  <c r="E34" i="2" s="1"/>
  <c r="N35" i="3"/>
  <c r="K35" i="3"/>
  <c r="M35" i="3" s="1"/>
  <c r="G35" i="3"/>
  <c r="F33" i="2" s="1"/>
  <c r="E35" i="3"/>
  <c r="F35" i="3" s="1"/>
  <c r="E33" i="2" s="1"/>
  <c r="N34" i="3"/>
  <c r="K34" i="3"/>
  <c r="M34" i="3" s="1"/>
  <c r="G34" i="3"/>
  <c r="F32" i="2" s="1"/>
  <c r="E34" i="3"/>
  <c r="F34" i="3" s="1"/>
  <c r="E32" i="2" s="1"/>
  <c r="N33" i="3"/>
  <c r="K33" i="3"/>
  <c r="M33" i="3" s="1"/>
  <c r="G33" i="3"/>
  <c r="F31" i="2" s="1"/>
  <c r="E33" i="3"/>
  <c r="F33" i="3" s="1"/>
  <c r="E31" i="2" s="1"/>
  <c r="N32" i="3"/>
  <c r="K32" i="3"/>
  <c r="M32" i="3" s="1"/>
  <c r="G32" i="3"/>
  <c r="F30" i="2" s="1"/>
  <c r="E32" i="3"/>
  <c r="F32" i="3" s="1"/>
  <c r="E30" i="2" s="1"/>
  <c r="N31" i="3"/>
  <c r="K31" i="3"/>
  <c r="M31" i="3" s="1"/>
  <c r="G31" i="3"/>
  <c r="F29" i="2" s="1"/>
  <c r="E31" i="3"/>
  <c r="F31" i="3" s="1"/>
  <c r="E29" i="2" s="1"/>
  <c r="N30" i="3"/>
  <c r="K30" i="3"/>
  <c r="M30" i="3" s="1"/>
  <c r="G30" i="3"/>
  <c r="F28" i="2" s="1"/>
  <c r="E30" i="3"/>
  <c r="F30" i="3" s="1"/>
  <c r="E28" i="2" s="1"/>
  <c r="N29" i="3"/>
  <c r="K29" i="3"/>
  <c r="M29" i="3" s="1"/>
  <c r="G29" i="3"/>
  <c r="F27" i="2" s="1"/>
  <c r="E29" i="3"/>
  <c r="F29" i="3" s="1"/>
  <c r="E27" i="2" s="1"/>
  <c r="N28" i="3"/>
  <c r="K28" i="3"/>
  <c r="M28" i="3" s="1"/>
  <c r="G28" i="3"/>
  <c r="F26" i="2" s="1"/>
  <c r="E28" i="3"/>
  <c r="F28" i="3" s="1"/>
  <c r="E26" i="2" s="1"/>
  <c r="N27" i="3"/>
  <c r="K27" i="3"/>
  <c r="M27" i="3" s="1"/>
  <c r="G27" i="3"/>
  <c r="F25" i="2" s="1"/>
  <c r="E27" i="3"/>
  <c r="F27" i="3" s="1"/>
  <c r="E25" i="2" s="1"/>
  <c r="N26" i="3"/>
  <c r="K26" i="3"/>
  <c r="M26" i="3" s="1"/>
  <c r="G26" i="3"/>
  <c r="F24" i="2" s="1"/>
  <c r="E26" i="3"/>
  <c r="F26" i="3" s="1"/>
  <c r="E24" i="2" s="1"/>
  <c r="N25" i="3"/>
  <c r="K25" i="3"/>
  <c r="M25" i="3" s="1"/>
  <c r="G25" i="3"/>
  <c r="F23" i="2" s="1"/>
  <c r="E25" i="3"/>
  <c r="F25" i="3" s="1"/>
  <c r="E23" i="2" s="1"/>
  <c r="N24" i="3"/>
  <c r="K24" i="3"/>
  <c r="M24" i="3" s="1"/>
  <c r="G24" i="3"/>
  <c r="F22" i="2" s="1"/>
  <c r="E24" i="3"/>
  <c r="F24" i="3" s="1"/>
  <c r="E22" i="2" s="1"/>
  <c r="N23" i="3"/>
  <c r="K23" i="3"/>
  <c r="M23" i="3" s="1"/>
  <c r="G23" i="3"/>
  <c r="F21" i="2" s="1"/>
  <c r="E23" i="3"/>
  <c r="C21" i="2" s="1"/>
  <c r="N22" i="3"/>
  <c r="K22" i="3"/>
  <c r="M22" i="3" s="1"/>
  <c r="G22" i="3"/>
  <c r="F20" i="2" s="1"/>
  <c r="E22" i="3"/>
  <c r="F22" i="3" s="1"/>
  <c r="E20" i="2" s="1"/>
  <c r="N21" i="3"/>
  <c r="K21" i="3"/>
  <c r="M21" i="3" s="1"/>
  <c r="G21" i="3"/>
  <c r="F19" i="2" s="1"/>
  <c r="E21" i="3"/>
  <c r="F21" i="3" s="1"/>
  <c r="E19" i="2" s="1"/>
  <c r="N20" i="3"/>
  <c r="K20" i="3"/>
  <c r="M20" i="3" s="1"/>
  <c r="G20" i="3"/>
  <c r="F18" i="2" s="1"/>
  <c r="E20" i="3"/>
  <c r="F20" i="3" s="1"/>
  <c r="E18" i="2" s="1"/>
  <c r="N19" i="3"/>
  <c r="K19" i="3"/>
  <c r="M19" i="3" s="1"/>
  <c r="G19" i="3"/>
  <c r="F17" i="2" s="1"/>
  <c r="E19" i="3"/>
  <c r="F19" i="3" s="1"/>
  <c r="E17" i="2" s="1"/>
  <c r="N18" i="3"/>
  <c r="K18" i="3"/>
  <c r="M18" i="3" s="1"/>
  <c r="G18" i="3"/>
  <c r="F16" i="2" s="1"/>
  <c r="E18" i="3"/>
  <c r="F18" i="3" s="1"/>
  <c r="E16" i="2" s="1"/>
  <c r="N17" i="3"/>
  <c r="M17" i="3"/>
  <c r="G17" i="3"/>
  <c r="F15" i="2" s="1"/>
  <c r="E17" i="3"/>
  <c r="N16" i="3"/>
  <c r="K16" i="3"/>
  <c r="C58" i="3" s="1"/>
  <c r="F14" i="2"/>
  <c r="E16" i="3"/>
  <c r="I13" i="3"/>
  <c r="C120" i="2"/>
  <c r="G120" i="2" s="1"/>
  <c r="C119" i="2"/>
  <c r="G119" i="2" s="1"/>
  <c r="B10" i="5" s="1"/>
  <c r="I51" i="2"/>
  <c r="G51" i="2"/>
  <c r="D51" i="2"/>
  <c r="B51" i="2"/>
  <c r="I50" i="2"/>
  <c r="H50" i="2"/>
  <c r="G50" i="2"/>
  <c r="D50" i="2"/>
  <c r="B50" i="2"/>
  <c r="I49" i="2"/>
  <c r="H49" i="2"/>
  <c r="G49" i="2"/>
  <c r="D49" i="2"/>
  <c r="B49" i="2"/>
  <c r="I48" i="2"/>
  <c r="H48" i="2"/>
  <c r="G48" i="2"/>
  <c r="D48" i="2"/>
  <c r="B48" i="2"/>
  <c r="I47" i="2"/>
  <c r="H47" i="2"/>
  <c r="G47" i="2"/>
  <c r="D47" i="2"/>
  <c r="B47" i="2"/>
  <c r="I46" i="2"/>
  <c r="H46" i="2"/>
  <c r="G46" i="2"/>
  <c r="D46" i="2"/>
  <c r="B46" i="2"/>
  <c r="I45" i="2"/>
  <c r="H45" i="2"/>
  <c r="G45" i="2"/>
  <c r="D45" i="2"/>
  <c r="B45" i="2"/>
  <c r="I44" i="2"/>
  <c r="H44" i="2"/>
  <c r="G44" i="2"/>
  <c r="D44" i="2"/>
  <c r="B44" i="2"/>
  <c r="I43" i="2"/>
  <c r="H43" i="2"/>
  <c r="G43" i="2"/>
  <c r="D43" i="2"/>
  <c r="B43" i="2"/>
  <c r="I42" i="2"/>
  <c r="H42" i="2"/>
  <c r="G42" i="2"/>
  <c r="D42" i="2"/>
  <c r="B42" i="2"/>
  <c r="I41" i="2"/>
  <c r="H41" i="2"/>
  <c r="G41" i="2"/>
  <c r="D41" i="2"/>
  <c r="B41" i="2"/>
  <c r="I40" i="2"/>
  <c r="H40" i="2"/>
  <c r="G40" i="2"/>
  <c r="D40" i="2"/>
  <c r="B40" i="2"/>
  <c r="I39" i="2"/>
  <c r="H39" i="2"/>
  <c r="G39" i="2"/>
  <c r="D39" i="2"/>
  <c r="B39" i="2"/>
  <c r="I38" i="2"/>
  <c r="H38" i="2"/>
  <c r="G38" i="2"/>
  <c r="D38" i="2"/>
  <c r="B38" i="2"/>
  <c r="I37" i="2"/>
  <c r="H37" i="2"/>
  <c r="G37" i="2"/>
  <c r="D37" i="2"/>
  <c r="B37" i="2"/>
  <c r="I36" i="2"/>
  <c r="H36" i="2"/>
  <c r="G36" i="2"/>
  <c r="D36" i="2"/>
  <c r="B36" i="2"/>
  <c r="I35" i="2"/>
  <c r="H35" i="2"/>
  <c r="G35" i="2"/>
  <c r="D35" i="2"/>
  <c r="B35" i="2"/>
  <c r="I34" i="2"/>
  <c r="H34" i="2"/>
  <c r="G34" i="2"/>
  <c r="D34" i="2"/>
  <c r="B34" i="2"/>
  <c r="I33" i="2"/>
  <c r="H33" i="2"/>
  <c r="G33" i="2"/>
  <c r="D33" i="2"/>
  <c r="B33" i="2"/>
  <c r="I32" i="2"/>
  <c r="H32" i="2"/>
  <c r="G32" i="2"/>
  <c r="D32" i="2"/>
  <c r="B32" i="2"/>
  <c r="I31" i="2"/>
  <c r="H31" i="2"/>
  <c r="G31" i="2"/>
  <c r="D31" i="2"/>
  <c r="B31" i="2"/>
  <c r="I30" i="2"/>
  <c r="H30" i="2"/>
  <c r="G30" i="2"/>
  <c r="D30" i="2"/>
  <c r="B30" i="2"/>
  <c r="I29" i="2"/>
  <c r="H29" i="2"/>
  <c r="G29" i="2"/>
  <c r="D29" i="2"/>
  <c r="B29" i="2"/>
  <c r="I28" i="2"/>
  <c r="H28" i="2"/>
  <c r="G28" i="2"/>
  <c r="D28" i="2"/>
  <c r="B28" i="2"/>
  <c r="I27" i="2"/>
  <c r="H27" i="2"/>
  <c r="G27" i="2"/>
  <c r="D27" i="2"/>
  <c r="B27" i="2"/>
  <c r="I26" i="2"/>
  <c r="H26" i="2"/>
  <c r="G26" i="2"/>
  <c r="D26" i="2"/>
  <c r="B26" i="2"/>
  <c r="I25" i="2"/>
  <c r="H25" i="2"/>
  <c r="G25" i="2"/>
  <c r="D25" i="2"/>
  <c r="B25" i="2"/>
  <c r="I24" i="2"/>
  <c r="H24" i="2"/>
  <c r="G24" i="2"/>
  <c r="D24" i="2"/>
  <c r="B24" i="2"/>
  <c r="I23" i="2"/>
  <c r="H23" i="2"/>
  <c r="G23" i="2"/>
  <c r="D23" i="2"/>
  <c r="B23" i="2"/>
  <c r="I22" i="2"/>
  <c r="H22" i="2"/>
  <c r="G22" i="2"/>
  <c r="D22" i="2"/>
  <c r="B22" i="2"/>
  <c r="I21" i="2"/>
  <c r="H21" i="2"/>
  <c r="G21" i="2"/>
  <c r="D21" i="2"/>
  <c r="B21" i="2"/>
  <c r="I20" i="2"/>
  <c r="G20" i="2"/>
  <c r="D20" i="2"/>
  <c r="B20" i="2"/>
  <c r="I19" i="2"/>
  <c r="G19" i="2"/>
  <c r="D19" i="2"/>
  <c r="B19" i="2"/>
  <c r="I18" i="2"/>
  <c r="G18" i="2"/>
  <c r="D18" i="2"/>
  <c r="B18" i="2"/>
  <c r="I17" i="2"/>
  <c r="H17" i="2"/>
  <c r="G17" i="2"/>
  <c r="D17" i="2"/>
  <c r="B17" i="2"/>
  <c r="I16" i="2"/>
  <c r="G16" i="2"/>
  <c r="D16" i="2"/>
  <c r="B16" i="2"/>
  <c r="I15" i="2"/>
  <c r="G15" i="2"/>
  <c r="D15" i="2"/>
  <c r="B15" i="2"/>
  <c r="I14" i="2"/>
  <c r="G14" i="2"/>
  <c r="D14" i="2"/>
  <c r="H13" i="2"/>
  <c r="F9" i="2"/>
  <c r="D9" i="2"/>
  <c r="C6" i="2"/>
  <c r="C5" i="2"/>
  <c r="A2" i="2"/>
  <c r="J65" i="3" l="1"/>
  <c r="C64" i="2"/>
  <c r="M53" i="3"/>
  <c r="C94" i="3"/>
  <c r="C93" i="2" s="1"/>
  <c r="H51" i="2"/>
  <c r="M16" i="3"/>
  <c r="M54" i="3" s="1"/>
  <c r="B57" i="2"/>
  <c r="H94" i="3"/>
  <c r="I94" i="3" s="1"/>
  <c r="C37" i="2"/>
  <c r="H63" i="3"/>
  <c r="I63" i="3" s="1"/>
  <c r="H64" i="3"/>
  <c r="I64" i="3" s="1"/>
  <c r="C48" i="2"/>
  <c r="C31" i="2"/>
  <c r="C33" i="2"/>
  <c r="C43" i="2"/>
  <c r="C28" i="2"/>
  <c r="C38" i="2"/>
  <c r="C44" i="2"/>
  <c r="H18" i="2"/>
  <c r="H20" i="2"/>
  <c r="H19" i="2"/>
  <c r="F17" i="3"/>
  <c r="E15" i="2" s="1"/>
  <c r="C45" i="2"/>
  <c r="C72" i="3"/>
  <c r="C19" i="2"/>
  <c r="C35" i="2"/>
  <c r="D72" i="3"/>
  <c r="D71" i="2" s="1"/>
  <c r="C49" i="2"/>
  <c r="C50" i="2"/>
  <c r="C29" i="2"/>
  <c r="C46" i="2"/>
  <c r="C40" i="2"/>
  <c r="C30" i="2"/>
  <c r="F81" i="3"/>
  <c r="C27" i="2"/>
  <c r="F53" i="3"/>
  <c r="E51" i="2" s="1"/>
  <c r="I79" i="3"/>
  <c r="E88" i="3"/>
  <c r="E87" i="2" s="1"/>
  <c r="C20" i="2"/>
  <c r="C23" i="2"/>
  <c r="C25" i="2"/>
  <c r="D69" i="3"/>
  <c r="D68" i="2" s="1"/>
  <c r="G73" i="3"/>
  <c r="D76" i="3"/>
  <c r="D75" i="2" s="1"/>
  <c r="F86" i="3"/>
  <c r="C22" i="2"/>
  <c r="I87" i="3"/>
  <c r="H16" i="2"/>
  <c r="H15" i="2"/>
  <c r="C16" i="2"/>
  <c r="H59" i="3"/>
  <c r="I59" i="3" s="1"/>
  <c r="C15" i="2"/>
  <c r="C17" i="2"/>
  <c r="C61" i="3"/>
  <c r="C80" i="3"/>
  <c r="C32" i="2"/>
  <c r="D80" i="3"/>
  <c r="D79" i="2" s="1"/>
  <c r="C73" i="3"/>
  <c r="E80" i="3"/>
  <c r="E79" i="2" s="1"/>
  <c r="F88" i="3"/>
  <c r="C93" i="3"/>
  <c r="C26" i="2"/>
  <c r="D73" i="3"/>
  <c r="D72" i="2" s="1"/>
  <c r="F80" i="3"/>
  <c r="G88" i="3"/>
  <c r="D93" i="3"/>
  <c r="D92" i="2" s="1"/>
  <c r="G66" i="3"/>
  <c r="C86" i="3"/>
  <c r="C85" i="2" s="1"/>
  <c r="E93" i="3"/>
  <c r="E92" i="2" s="1"/>
  <c r="C34" i="2"/>
  <c r="E67" i="3"/>
  <c r="E66" i="2" s="1"/>
  <c r="F79" i="3"/>
  <c r="G90" i="3"/>
  <c r="J85" i="3"/>
  <c r="F41" i="3"/>
  <c r="E39" i="2" s="1"/>
  <c r="H65" i="3"/>
  <c r="I65" i="3" s="1"/>
  <c r="K65" i="3" s="1"/>
  <c r="C78" i="3"/>
  <c r="F85" i="3"/>
  <c r="H85" i="3"/>
  <c r="I85" i="3" s="1"/>
  <c r="K85" i="3" s="1"/>
  <c r="F23" i="3"/>
  <c r="E21" i="2" s="1"/>
  <c r="C47" i="2"/>
  <c r="F43" i="3"/>
  <c r="E41" i="2" s="1"/>
  <c r="H62" i="3"/>
  <c r="I62" i="3" s="1"/>
  <c r="C64" i="3"/>
  <c r="C63" i="2" s="1"/>
  <c r="D65" i="3"/>
  <c r="D64" i="2" s="1"/>
  <c r="G68" i="3"/>
  <c r="H68" i="3"/>
  <c r="I68" i="3" s="1"/>
  <c r="E70" i="3"/>
  <c r="E69" i="2" s="1"/>
  <c r="H70" i="3"/>
  <c r="I70" i="3" s="1"/>
  <c r="C77" i="3"/>
  <c r="G78" i="3"/>
  <c r="E85" i="3"/>
  <c r="E84" i="2" s="1"/>
  <c r="F87" i="3"/>
  <c r="E89" i="3"/>
  <c r="E88" i="2" s="1"/>
  <c r="H89" i="3"/>
  <c r="I89" i="3" s="1"/>
  <c r="C62" i="3"/>
  <c r="D68" i="3"/>
  <c r="D67" i="2" s="1"/>
  <c r="C70" i="3"/>
  <c r="E72" i="3"/>
  <c r="E71" i="2" s="1"/>
  <c r="D77" i="3"/>
  <c r="D76" i="2" s="1"/>
  <c r="G80" i="3"/>
  <c r="E83" i="3"/>
  <c r="E82" i="2" s="1"/>
  <c r="H83" i="3"/>
  <c r="I83" i="3" s="1"/>
  <c r="G85" i="3"/>
  <c r="C89" i="3"/>
  <c r="C88" i="2" s="1"/>
  <c r="G92" i="3"/>
  <c r="H92" i="3"/>
  <c r="I92" i="3" s="1"/>
  <c r="D85" i="3"/>
  <c r="D84" i="2" s="1"/>
  <c r="C42" i="2"/>
  <c r="E68" i="3"/>
  <c r="E67" i="2" s="1"/>
  <c r="F70" i="3"/>
  <c r="F72" i="3"/>
  <c r="G74" i="3"/>
  <c r="H74" i="3"/>
  <c r="I74" i="3" s="1"/>
  <c r="E77" i="3"/>
  <c r="E76" i="2" s="1"/>
  <c r="E81" i="3"/>
  <c r="E80" i="2" s="1"/>
  <c r="H81" i="3"/>
  <c r="I81" i="3" s="1"/>
  <c r="G84" i="3"/>
  <c r="H84" i="3"/>
  <c r="I84" i="3" s="1"/>
  <c r="D89" i="3"/>
  <c r="D88" i="2" s="1"/>
  <c r="E92" i="3"/>
  <c r="E91" i="2" s="1"/>
  <c r="C18" i="2"/>
  <c r="B7" i="5"/>
  <c r="H61" i="3"/>
  <c r="I61" i="3" s="1"/>
  <c r="F69" i="3"/>
  <c r="H69" i="3"/>
  <c r="I69" i="3" s="1"/>
  <c r="G70" i="3"/>
  <c r="G72" i="3"/>
  <c r="C81" i="3"/>
  <c r="C80" i="2" s="1"/>
  <c r="D84" i="3"/>
  <c r="D83" i="2" s="1"/>
  <c r="E86" i="3"/>
  <c r="E85" i="2" s="1"/>
  <c r="H86" i="3"/>
  <c r="I86" i="3" s="1"/>
  <c r="C88" i="3"/>
  <c r="C87" i="2" s="1"/>
  <c r="F89" i="3"/>
  <c r="E78" i="3"/>
  <c r="E77" i="2" s="1"/>
  <c r="H78" i="3"/>
  <c r="I78" i="3" s="1"/>
  <c r="F77" i="3"/>
  <c r="H77" i="3"/>
  <c r="I77" i="3" s="1"/>
  <c r="C36" i="2"/>
  <c r="C69" i="3"/>
  <c r="C68" i="2" s="1"/>
  <c r="H71" i="3"/>
  <c r="I71" i="3" s="1"/>
  <c r="E73" i="3"/>
  <c r="E72" i="2" s="1"/>
  <c r="H73" i="3"/>
  <c r="I73" i="3" s="1"/>
  <c r="G76" i="3"/>
  <c r="H76" i="3"/>
  <c r="I76" i="3" s="1"/>
  <c r="D81" i="3"/>
  <c r="D80" i="2" s="1"/>
  <c r="E84" i="3"/>
  <c r="E83" i="2" s="1"/>
  <c r="D88" i="3"/>
  <c r="D87" i="2" s="1"/>
  <c r="G89" i="3"/>
  <c r="F93" i="3"/>
  <c r="H93" i="3"/>
  <c r="I93" i="3" s="1"/>
  <c r="H60" i="3"/>
  <c r="I60" i="3" s="1"/>
  <c r="H14" i="2"/>
  <c r="C14" i="2"/>
  <c r="H58" i="3"/>
  <c r="I58" i="3" s="1"/>
  <c r="I88" i="3"/>
  <c r="D75" i="3"/>
  <c r="D74" i="2" s="1"/>
  <c r="C75" i="3"/>
  <c r="C74" i="2" s="1"/>
  <c r="I75" i="3"/>
  <c r="G75" i="3"/>
  <c r="F75" i="3"/>
  <c r="C24" i="2"/>
  <c r="B98" i="2"/>
  <c r="C112" i="2"/>
  <c r="C59" i="3"/>
  <c r="C58" i="2" s="1"/>
  <c r="I90" i="3"/>
  <c r="F90" i="3"/>
  <c r="E90" i="3"/>
  <c r="E89" i="2" s="1"/>
  <c r="D90" i="3"/>
  <c r="D89" i="2" s="1"/>
  <c r="C90" i="3"/>
  <c r="C89" i="2" s="1"/>
  <c r="F16" i="3"/>
  <c r="E14" i="2" s="1"/>
  <c r="I66" i="3"/>
  <c r="F66" i="3"/>
  <c r="E66" i="3"/>
  <c r="E65" i="2" s="1"/>
  <c r="D66" i="3"/>
  <c r="D65" i="2" s="1"/>
  <c r="C66" i="3"/>
  <c r="C65" i="2" s="1"/>
  <c r="E75" i="3"/>
  <c r="E74" i="2" s="1"/>
  <c r="I80" i="3"/>
  <c r="I82" i="3"/>
  <c r="F82" i="3"/>
  <c r="E82" i="3"/>
  <c r="E81" i="2" s="1"/>
  <c r="D82" i="3"/>
  <c r="D81" i="2" s="1"/>
  <c r="C82" i="3"/>
  <c r="C81" i="2" s="1"/>
  <c r="D91" i="3"/>
  <c r="D90" i="2" s="1"/>
  <c r="C91" i="3"/>
  <c r="C90" i="2" s="1"/>
  <c r="I91" i="3"/>
  <c r="G91" i="3"/>
  <c r="F91" i="3"/>
  <c r="E98" i="2"/>
  <c r="K54" i="3"/>
  <c r="G82" i="3"/>
  <c r="E91" i="3"/>
  <c r="E90" i="2" s="1"/>
  <c r="H98" i="2"/>
  <c r="D67" i="3"/>
  <c r="D66" i="2" s="1"/>
  <c r="C67" i="3"/>
  <c r="C66" i="2" s="1"/>
  <c r="I67" i="3"/>
  <c r="G67" i="3"/>
  <c r="F67" i="3"/>
  <c r="I72" i="3"/>
  <c r="N54" i="3"/>
  <c r="F74" i="3"/>
  <c r="E74" i="3"/>
  <c r="E73" i="2" s="1"/>
  <c r="D74" i="3"/>
  <c r="D73" i="2" s="1"/>
  <c r="C74" i="3"/>
  <c r="C73" i="2" s="1"/>
  <c r="D83" i="3"/>
  <c r="D82" i="2" s="1"/>
  <c r="C83" i="3"/>
  <c r="C82" i="2" s="1"/>
  <c r="G83" i="3"/>
  <c r="F83" i="3"/>
  <c r="C63" i="3"/>
  <c r="C62" i="2" s="1"/>
  <c r="E69" i="3"/>
  <c r="E68" i="2" s="1"/>
  <c r="C71" i="3"/>
  <c r="C70" i="2" s="1"/>
  <c r="C79" i="3"/>
  <c r="C78" i="2" s="1"/>
  <c r="C87" i="3"/>
  <c r="C86" i="2" s="1"/>
  <c r="C60" i="3"/>
  <c r="C59" i="2" s="1"/>
  <c r="C68" i="3"/>
  <c r="C67" i="2" s="1"/>
  <c r="D71" i="3"/>
  <c r="D70" i="2" s="1"/>
  <c r="C76" i="3"/>
  <c r="C75" i="2" s="1"/>
  <c r="D79" i="3"/>
  <c r="D78" i="2" s="1"/>
  <c r="C84" i="3"/>
  <c r="C83" i="2" s="1"/>
  <c r="D87" i="3"/>
  <c r="D86" i="2" s="1"/>
  <c r="C92" i="3"/>
  <c r="C91" i="2" s="1"/>
  <c r="E71" i="3"/>
  <c r="E70" i="2" s="1"/>
  <c r="E79" i="3"/>
  <c r="E78" i="2" s="1"/>
  <c r="E87" i="3"/>
  <c r="E86" i="2" s="1"/>
  <c r="D92" i="3"/>
  <c r="D91" i="2" s="1"/>
  <c r="F68" i="3"/>
  <c r="D70" i="3"/>
  <c r="D69" i="2" s="1"/>
  <c r="G71" i="3"/>
  <c r="F76" i="3"/>
  <c r="D78" i="3"/>
  <c r="D77" i="2" s="1"/>
  <c r="G79" i="3"/>
  <c r="F84" i="3"/>
  <c r="D86" i="3"/>
  <c r="D85" i="2" s="1"/>
  <c r="G87" i="3"/>
  <c r="F92" i="3"/>
  <c r="L94" i="3" l="1"/>
  <c r="J73" i="3"/>
  <c r="C72" i="2"/>
  <c r="J80" i="3"/>
  <c r="C79" i="2"/>
  <c r="J77" i="3"/>
  <c r="C76" i="2"/>
  <c r="J61" i="3"/>
  <c r="C60" i="2"/>
  <c r="J78" i="3"/>
  <c r="C77" i="2"/>
  <c r="J62" i="3"/>
  <c r="C61" i="2"/>
  <c r="J72" i="3"/>
  <c r="C71" i="2"/>
  <c r="J70" i="3"/>
  <c r="C69" i="2"/>
  <c r="J93" i="3"/>
  <c r="C92" i="2"/>
  <c r="D94" i="3"/>
  <c r="D93" i="2" s="1"/>
  <c r="L85" i="3"/>
  <c r="M85" i="3" s="1"/>
  <c r="N85" i="3" s="1"/>
  <c r="L63" i="3"/>
  <c r="D59" i="3"/>
  <c r="D63" i="3"/>
  <c r="D62" i="2" s="1"/>
  <c r="D64" i="3"/>
  <c r="D63" i="2" s="1"/>
  <c r="E65" i="3"/>
  <c r="E64" i="2" s="1"/>
  <c r="D62" i="3"/>
  <c r="D61" i="2" s="1"/>
  <c r="K64" i="3"/>
  <c r="K87" i="3"/>
  <c r="K61" i="3"/>
  <c r="K69" i="3"/>
  <c r="K73" i="3"/>
  <c r="L65" i="3"/>
  <c r="M65" i="3" s="1"/>
  <c r="N65" i="3" s="1"/>
  <c r="H53" i="2"/>
  <c r="H52" i="2"/>
  <c r="D58" i="3"/>
  <c r="D57" i="2" s="1"/>
  <c r="D61" i="3"/>
  <c r="D60" i="2" s="1"/>
  <c r="L61" i="3"/>
  <c r="J86" i="3"/>
  <c r="K93" i="3"/>
  <c r="L81" i="3"/>
  <c r="L93" i="3"/>
  <c r="K77" i="3"/>
  <c r="L73" i="3"/>
  <c r="L77" i="3"/>
  <c r="K81" i="3"/>
  <c r="L64" i="3"/>
  <c r="J69" i="3"/>
  <c r="L69" i="3"/>
  <c r="J88" i="3"/>
  <c r="J81" i="3"/>
  <c r="J89" i="3"/>
  <c r="J64" i="3"/>
  <c r="L89" i="3"/>
  <c r="K89" i="3"/>
  <c r="L60" i="3"/>
  <c r="D60" i="3"/>
  <c r="D59" i="2" s="1"/>
  <c r="K60" i="3"/>
  <c r="K63" i="3"/>
  <c r="K58" i="3"/>
  <c r="J79" i="3"/>
  <c r="L91" i="3"/>
  <c r="K91" i="3"/>
  <c r="J92" i="3"/>
  <c r="J60" i="3"/>
  <c r="L70" i="3"/>
  <c r="K70" i="3"/>
  <c r="J82" i="3"/>
  <c r="K92" i="3"/>
  <c r="J66" i="3"/>
  <c r="L76" i="3"/>
  <c r="K76" i="3"/>
  <c r="K88" i="3"/>
  <c r="L88" i="3"/>
  <c r="L68" i="3"/>
  <c r="K68" i="3"/>
  <c r="L90" i="3"/>
  <c r="K90" i="3"/>
  <c r="L78" i="3"/>
  <c r="K78" i="3"/>
  <c r="L87" i="3"/>
  <c r="C95" i="3"/>
  <c r="C57" i="2"/>
  <c r="J58" i="3"/>
  <c r="K94" i="3"/>
  <c r="J94" i="3"/>
  <c r="L74" i="3"/>
  <c r="K74" i="3"/>
  <c r="K72" i="3"/>
  <c r="L72" i="3"/>
  <c r="L92" i="3"/>
  <c r="J90" i="3"/>
  <c r="L59" i="3"/>
  <c r="K59" i="3"/>
  <c r="J68" i="3"/>
  <c r="L84" i="3"/>
  <c r="K84" i="3"/>
  <c r="L79" i="3"/>
  <c r="J91" i="3"/>
  <c r="J71" i="3"/>
  <c r="J84" i="3"/>
  <c r="J63" i="3"/>
  <c r="L83" i="3"/>
  <c r="K83" i="3"/>
  <c r="J59" i="3"/>
  <c r="J67" i="3"/>
  <c r="J87" i="3"/>
  <c r="L62" i="3"/>
  <c r="K62" i="3"/>
  <c r="J83" i="3"/>
  <c r="L58" i="3"/>
  <c r="L75" i="3"/>
  <c r="K75" i="3"/>
  <c r="K71" i="3"/>
  <c r="J74" i="3"/>
  <c r="K79" i="3"/>
  <c r="J76" i="3"/>
  <c r="L86" i="3"/>
  <c r="K86" i="3"/>
  <c r="L67" i="3"/>
  <c r="K67" i="3"/>
  <c r="L82" i="3"/>
  <c r="K82" i="3"/>
  <c r="K80" i="3"/>
  <c r="L80" i="3"/>
  <c r="L66" i="3"/>
  <c r="K66" i="3"/>
  <c r="J75" i="3"/>
  <c r="L71" i="3"/>
  <c r="M94" i="3" l="1"/>
  <c r="N94" i="3" s="1"/>
  <c r="E59" i="3"/>
  <c r="E58" i="2" s="1"/>
  <c r="D58" i="2"/>
  <c r="F58" i="2" s="1"/>
  <c r="E94" i="3"/>
  <c r="E93" i="2" s="1"/>
  <c r="M63" i="3"/>
  <c r="N63" i="3" s="1"/>
  <c r="M87" i="3"/>
  <c r="N87" i="3" s="1"/>
  <c r="E62" i="3"/>
  <c r="E61" i="2" s="1"/>
  <c r="E63" i="3"/>
  <c r="E62" i="2" s="1"/>
  <c r="E64" i="3"/>
  <c r="E63" i="2" s="1"/>
  <c r="M64" i="3"/>
  <c r="N64" i="3" s="1"/>
  <c r="M61" i="3"/>
  <c r="N61" i="3" s="1"/>
  <c r="M69" i="3"/>
  <c r="N69" i="3" s="1"/>
  <c r="M73" i="3"/>
  <c r="N73" i="3" s="1"/>
  <c r="M77" i="3"/>
  <c r="N77" i="3" s="1"/>
  <c r="M81" i="3"/>
  <c r="N81" i="3" s="1"/>
  <c r="M89" i="3"/>
  <c r="N89" i="3" s="1"/>
  <c r="E58" i="3"/>
  <c r="E57" i="2" s="1"/>
  <c r="H54" i="2"/>
  <c r="D95" i="3"/>
  <c r="C109" i="3" s="1"/>
  <c r="C99" i="2" s="1"/>
  <c r="M60" i="3"/>
  <c r="N60" i="3" s="1"/>
  <c r="E61" i="3"/>
  <c r="E60" i="2" s="1"/>
  <c r="B8" i="5"/>
  <c r="C8" i="5" s="1"/>
  <c r="C9" i="5" s="1"/>
  <c r="M93" i="3"/>
  <c r="N93" i="3" s="1"/>
  <c r="M66" i="3"/>
  <c r="N66" i="3" s="1"/>
  <c r="M86" i="3"/>
  <c r="N86" i="3" s="1"/>
  <c r="E60" i="3"/>
  <c r="E59" i="2" s="1"/>
  <c r="M90" i="3"/>
  <c r="N90" i="3" s="1"/>
  <c r="M84" i="3"/>
  <c r="N84" i="3" s="1"/>
  <c r="M76" i="3"/>
  <c r="N76" i="3" s="1"/>
  <c r="D100" i="3"/>
  <c r="I94" i="2" s="1"/>
  <c r="M71" i="3"/>
  <c r="N71" i="3" s="1"/>
  <c r="M83" i="3"/>
  <c r="N83" i="3" s="1"/>
  <c r="M92" i="3"/>
  <c r="N92" i="3" s="1"/>
  <c r="M75" i="3"/>
  <c r="N75" i="3" s="1"/>
  <c r="M78" i="3"/>
  <c r="N78" i="3" s="1"/>
  <c r="M70" i="3"/>
  <c r="N70" i="3" s="1"/>
  <c r="M62" i="3"/>
  <c r="N62" i="3" s="1"/>
  <c r="M88" i="3"/>
  <c r="N88" i="3" s="1"/>
  <c r="M80" i="3"/>
  <c r="N80" i="3" s="1"/>
  <c r="M82" i="3"/>
  <c r="N82" i="3" s="1"/>
  <c r="M79" i="3"/>
  <c r="N79" i="3" s="1"/>
  <c r="K95" i="3"/>
  <c r="M58" i="3"/>
  <c r="N58" i="3" s="1"/>
  <c r="M72" i="3"/>
  <c r="N72" i="3" s="1"/>
  <c r="J95" i="3"/>
  <c r="M91" i="3"/>
  <c r="N91" i="3" s="1"/>
  <c r="L95" i="3"/>
  <c r="M59" i="3"/>
  <c r="N59" i="3" s="1"/>
  <c r="M74" i="3"/>
  <c r="N74" i="3" s="1"/>
  <c r="C94" i="2"/>
  <c r="M68" i="3"/>
  <c r="N68" i="3" s="1"/>
  <c r="M67" i="3"/>
  <c r="N67" i="3" s="1"/>
  <c r="G12" i="3"/>
  <c r="F11" i="2" s="1"/>
  <c r="B9" i="5" a="1"/>
  <c r="D94" i="2" l="1"/>
  <c r="E95" i="3"/>
  <c r="C110" i="3" s="1"/>
  <c r="B9" i="5"/>
  <c r="D9" i="5" s="1"/>
  <c r="E100" i="3"/>
  <c r="G100" i="3"/>
  <c r="M100" i="3"/>
  <c r="N95" i="3"/>
  <c r="F57" i="2"/>
  <c r="M95" i="3"/>
  <c r="K109" i="3"/>
  <c r="F95" i="3"/>
  <c r="F94" i="3" l="1"/>
  <c r="G94" i="3" s="1"/>
  <c r="F64" i="3"/>
  <c r="G64" i="3" s="1"/>
  <c r="F62" i="3"/>
  <c r="G62" i="3" s="1"/>
  <c r="F65" i="3"/>
  <c r="G65" i="3" s="1"/>
  <c r="F63" i="3"/>
  <c r="G63" i="3" s="1"/>
  <c r="E94" i="2"/>
  <c r="F94" i="2"/>
  <c r="F60" i="3"/>
  <c r="G60" i="3" s="1"/>
  <c r="F61" i="3"/>
  <c r="G61" i="3" s="1"/>
  <c r="G96" i="3"/>
  <c r="G109" i="3"/>
  <c r="F58" i="3"/>
  <c r="G58" i="3" s="1"/>
  <c r="F59" i="3"/>
  <c r="G59" i="3" s="1"/>
  <c r="K110" i="3"/>
  <c r="I100" i="2" s="1"/>
  <c r="I99" i="2"/>
  <c r="C100" i="2"/>
  <c r="C101" i="2" s="1"/>
  <c r="C111" i="3"/>
  <c r="G95" i="3" l="1"/>
  <c r="G97" i="3" s="1"/>
  <c r="I101" i="2"/>
  <c r="K111" i="3"/>
  <c r="J100" i="3" s="1"/>
  <c r="J101" i="3"/>
  <c r="K101" i="3" s="1"/>
  <c r="D101" i="3"/>
  <c r="E101" i="3" s="1"/>
  <c r="G110" i="3"/>
  <c r="F100" i="2" s="1"/>
  <c r="F99" i="2"/>
  <c r="D102" i="3"/>
  <c r="E102" i="3" s="1"/>
  <c r="J102" i="3"/>
  <c r="K102" i="3" s="1"/>
  <c r="D103" i="3" l="1"/>
  <c r="E103" i="3" s="1"/>
  <c r="E104" i="3" s="1"/>
  <c r="K97" i="3"/>
  <c r="J103" i="3"/>
  <c r="K103" i="3" s="1"/>
  <c r="K104" i="3" s="1"/>
  <c r="G111" i="3"/>
  <c r="F95" i="2" s="1"/>
  <c r="F96" i="2" s="1"/>
  <c r="F10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Gallo</author>
  </authors>
  <commentList>
    <comment ref="C5" authorId="0" shapeId="0" xr:uid="{F1498500-C692-4F92-A5FD-39435111ED70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Ingresa el nombre completo de la empresa. Las siglas sin punto SAC SRL EIRL etc</t>
        </r>
      </text>
    </comment>
    <comment ref="C6" authorId="0" shapeId="0" xr:uid="{F81B8B1C-1378-4D86-BEAC-146D30FC5230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Ingresa el RUC de la empresa</t>
        </r>
      </text>
    </comment>
    <comment ref="C7" authorId="0" shapeId="0" xr:uid="{BD6E2289-A137-459E-811D-5F330EAD65A3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Indicar si se trata de FACTURAS o de RECIBO DE HONORARIOS</t>
        </r>
      </text>
    </comment>
    <comment ref="F9" authorId="0" shapeId="0" xr:uid="{F817E9BD-37EE-43D6-88B2-E92EF099CCC5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Inserta el número de anexo</t>
        </r>
      </text>
    </comment>
    <comment ref="F10" authorId="0" shapeId="0" xr:uid="{90980536-C576-43FA-9741-2553134A64AF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Ingresa la fecha tentativa de desembolso (inicio de la operación de crédito)</t>
        </r>
      </text>
    </comment>
    <comment ref="H12" authorId="0" shapeId="0" xr:uid="{E6755D5F-FC84-4F6F-AAA2-4CF1FEB28F21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Porcentaje de comisión de estructuración. Solo se cambia con autorización de G.Gral. </t>
        </r>
      </text>
    </comment>
    <comment ref="H13" authorId="0" shapeId="0" xr:uid="{625F5863-21EF-42B5-935C-33862E08B301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Comisión de estructuración y desembolos mínima (en dólares)
</t>
        </r>
      </text>
    </comment>
    <comment ref="J14" authorId="0" shapeId="0" xr:uid="{CC27D6AD-EB07-401E-95F9-1229C6F55D5C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Tipo de cambio utilizadopara valorar las facturas en dólares (si el cliente quiere la operación en sólo dólares se pone valor 1)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<sst xmlns="http://schemas.openxmlformats.org/spreadsheetml/2006/main" count="150" uniqueCount="104">
  <si>
    <t>CONTRATO INANDES FACTOR CAPITAL SAC</t>
  </si>
  <si>
    <t>CLIENTE</t>
  </si>
  <si>
    <t>RUC</t>
  </si>
  <si>
    <t>RELACION DE</t>
  </si>
  <si>
    <t>FACTURA(S)</t>
  </si>
  <si>
    <t>FECHA</t>
  </si>
  <si>
    <t>Comisión por transferencias, ITFs.</t>
  </si>
  <si>
    <t>Nro. Facturas</t>
  </si>
  <si>
    <t>Fecha de Vencimiento</t>
  </si>
  <si>
    <t>Fecha de Desembolso</t>
  </si>
  <si>
    <t># de días</t>
  </si>
  <si>
    <t>Girador</t>
  </si>
  <si>
    <t>Aceptante</t>
  </si>
  <si>
    <t>Detracción / Retención</t>
  </si>
  <si>
    <t>Total</t>
  </si>
  <si>
    <t>(-) Detracciones</t>
  </si>
  <si>
    <t xml:space="preserve">Total Neto </t>
  </si>
  <si>
    <t>BASE DESCUENTO</t>
  </si>
  <si>
    <t>INTERES COBRADO</t>
  </si>
  <si>
    <t>IGV</t>
  </si>
  <si>
    <t>ABONO</t>
  </si>
  <si>
    <t>MARGEN DE SEGURIDAD</t>
  </si>
  <si>
    <t>Comisión + IGV</t>
  </si>
  <si>
    <t>Se devuelve al final de la operación, sirve para cubrir intereses adiconales por atrasos del PAGADOR / ADQUIRIENTE</t>
  </si>
  <si>
    <t>Total a Depositar:</t>
  </si>
  <si>
    <t>INTERES</t>
  </si>
  <si>
    <t>COMISION</t>
  </si>
  <si>
    <t>INT ADICIONALES (COMP Y MORAT)</t>
  </si>
  <si>
    <t>TOTAL</t>
  </si>
  <si>
    <t>Juan Ricardo Gallo Pizarro</t>
  </si>
  <si>
    <t>DNI 02816271</t>
  </si>
  <si>
    <t>INANDES CAPITAL FACTOR SAC</t>
  </si>
  <si>
    <t>GARANTE / FIADOR SOLIDARIO</t>
  </si>
  <si>
    <t>DEPOSITARIO</t>
  </si>
  <si>
    <t>PEN</t>
  </si>
  <si>
    <t>FONDO NSG MIPYME - INANDES FACTOR CAPITAL S.A.C.</t>
  </si>
  <si>
    <t>USD</t>
  </si>
  <si>
    <t>CONTRATO INANDES FACTOR CAPITAL S.A.C. - FONDO DE INVERSION PRIVADO</t>
  </si>
  <si>
    <t>FACTURAS</t>
  </si>
  <si>
    <t>ANEXO</t>
  </si>
  <si>
    <t>COMSION MINIMA (EN USD)</t>
  </si>
  <si>
    <t>Fecha de Recepción</t>
  </si>
  <si>
    <t>Plazo (días)</t>
  </si>
  <si>
    <t>Días de la operación</t>
  </si>
  <si>
    <t>MONEDA ORIGINAL (USD/PEN)</t>
  </si>
  <si>
    <t>MONTO (INC. IGV) EN MONEDA ORIGINAL</t>
  </si>
  <si>
    <t>MONTO NETO SOLES (PEN) / DOLARES (USD)</t>
  </si>
  <si>
    <t>DETRACCIÓN / RETENCION</t>
  </si>
  <si>
    <t>Valor Neto (sin detracción) en PEN</t>
  </si>
  <si>
    <t>Valor Neto (sin detracción) en USD</t>
  </si>
  <si>
    <t>Descuento</t>
  </si>
  <si>
    <t>Intereses Calculados (MV)</t>
  </si>
  <si>
    <t>Comisión</t>
  </si>
  <si>
    <t>Fecha de pago final</t>
  </si>
  <si>
    <t>Dias Adicionales</t>
  </si>
  <si>
    <t>Monto abonado + intereses</t>
  </si>
  <si>
    <t>Intereses Compensatorios</t>
  </si>
  <si>
    <t>Intereses Moratorios</t>
  </si>
  <si>
    <t xml:space="preserve">ABONO REAL </t>
  </si>
  <si>
    <t>IGV COMISION</t>
  </si>
  <si>
    <t>Objetivo:</t>
  </si>
  <si>
    <t>Operación Original</t>
  </si>
  <si>
    <t>Operación Final</t>
  </si>
  <si>
    <t>Margen de seguridad</t>
  </si>
  <si>
    <t>Días solo int. adic.</t>
  </si>
  <si>
    <t>Interés + comisiones</t>
  </si>
  <si>
    <t>Monto desembolsado</t>
  </si>
  <si>
    <t>Intereses pactados de la operación</t>
  </si>
  <si>
    <t>Comisión de estructuración de la operación</t>
  </si>
  <si>
    <t>Intereses Compensatorios y Moratorios de la operación</t>
  </si>
  <si>
    <t>POR FACTURAR</t>
  </si>
  <si>
    <t>INT COMP Y MORAT DE LA OPERACIÓN</t>
  </si>
  <si>
    <t>LIQUIDACION</t>
  </si>
  <si>
    <t>Capital</t>
  </si>
  <si>
    <t>Días</t>
  </si>
  <si>
    <t>Pago</t>
  </si>
  <si>
    <t>Saldo</t>
  </si>
  <si>
    <t>Cliente         :</t>
  </si>
  <si>
    <t>Pagador       :</t>
  </si>
  <si>
    <t>Documento :</t>
  </si>
  <si>
    <t>Moneda       :</t>
  </si>
  <si>
    <t>Documento</t>
  </si>
  <si>
    <t>Fecha Vencimiento</t>
  </si>
  <si>
    <t>Fecha Pago</t>
  </si>
  <si>
    <t xml:space="preserve">Tasa Interés       : </t>
  </si>
  <si>
    <t>Tasa Moratorio  :</t>
  </si>
  <si>
    <t>Empresa</t>
  </si>
  <si>
    <t>Nemónico Empresa</t>
  </si>
  <si>
    <t>Domicilio Fiscal</t>
  </si>
  <si>
    <t>Fecha Desembolso</t>
  </si>
  <si>
    <t>Valor Letra</t>
  </si>
  <si>
    <t>Valor Letra (Texto)</t>
  </si>
  <si>
    <t>Depositario 1</t>
  </si>
  <si>
    <t>Documento Deposit. 1</t>
  </si>
  <si>
    <t>Domicilio Deposit. 1</t>
  </si>
  <si>
    <t>Cargo Deposit. 1</t>
  </si>
  <si>
    <t>CORDOBA NOVOA SOFIA MERCEDES</t>
  </si>
  <si>
    <t>CORNOV</t>
  </si>
  <si>
    <t>GERENTE</t>
  </si>
  <si>
    <t>CALLE GENERA CORDOVA Nº 249 DPTO 303, DISTRITO DE MIRAFLORES, PROVINCIA Y DEPARTAMENTO DE LIMA</t>
  </si>
  <si>
    <t>DANPER TRUJILLO SAC</t>
  </si>
  <si>
    <t>TRANSPORTES SANTA FE DEL NORTE SAC</t>
  </si>
  <si>
    <t>Susy Elizabeth Garcia Salirrosas</t>
  </si>
  <si>
    <t>DNI 43371978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</si>
</sst>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_-[$USD]\ * #,##0.00_-;\-[$USD]\ * #,##0.00_-;_-[$USD]\ * &quot;-&quot;??_-;_-@_-"/>
    <numFmt numFmtId="165" formatCode="_(* #,##0.00_);_(* \(#,##0.00\);_(* &quot;-&quot;??_);_(@_)"/>
    <numFmt numFmtId="166" formatCode="[$-40A]dddd\,\ dd&quot; de &quot;mmmm&quot; de &quot;yyyy;@"/>
    <numFmt numFmtId="167" formatCode="_ [$PEN]\ * #,##0.00_ ;_ [$PEN]\ * \-#,##0.00_ ;_ [$PEN]\ * &quot;-&quot;??_ ;_ @_ "/>
    <numFmt numFmtId="168" formatCode="_(* #,##0.000_);_(* \(#,##0.000\);_(* &quot;-&quot;??_);_(@_)"/>
    <numFmt numFmtId="169" formatCode="&quot;E001 - &quot;000000"/>
    <numFmt numFmtId="170" formatCode="[$-1540A]dd\ mmmm\,\ yyyy"/>
    <numFmt numFmtId="171" formatCode="00"/>
    <numFmt numFmtId="172" formatCode="0.0000%"/>
    <numFmt numFmtId="173" formatCode="_(* #,##0.0000_);_(* \(#,##0.0000\);_(* &quot;-&quot;??_);_(@_)"/>
    <numFmt numFmtId="174" formatCode="[$-1540A]dd\-mmm\-yy"/>
    <numFmt numFmtId="175" formatCode="[$-1540A]dddd\,\ dd\ mmm\ yy;@"/>
    <numFmt numFmtId="176" formatCode="_ * #,##0.00_ ;_ * \-#,##0.00_ ;_ * &quot;-&quot;??_ ;_ @_ "/>
    <numFmt numFmtId="177" formatCode="0.000%"/>
    <numFmt numFmtId="178" formatCode="[$-1540A]dddd\,\ mmmm\ dd\,\ yyyy"/>
    <numFmt numFmtId="179" formatCode="[$PEN]\ #,##0.00;[Red]\-[$PEN]\ #,##0.00"/>
    <numFmt numFmtId="180" formatCode="[$$-1009]#,##0.00"/>
    <numFmt numFmtId="181" formatCode="_-* #,##0.00_-;\-* #,##0.00_-;_-* &quot;-&quot;??_-;_-@"/>
    <numFmt numFmtId="182" formatCode="_-[$PEN]\ * #,##0.00_-;\-[$PEN]\ * #,##0.00_-;_-[$PEN]\ * &quot;-&quot;??_-;_-@_-"/>
    <numFmt numFmtId="183" formatCode="dd/mm/yyyy;@"/>
    <numFmt numFmtId="184" formatCode="#,##0.00_ ;\-#,##0.00\ "/>
    <numFmt numFmtId="185" formatCode="&quot;F001 - &quot;000000"/>
    <numFmt numFmtId="186" formatCode="&quot;FA01 - &quot;000000"/>
    <numFmt numFmtId="187" formatCode="0.0%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mo"/>
      <family val="2"/>
    </font>
    <font>
      <b/>
      <sz val="18"/>
      <name val="Arimo"/>
      <family val="2"/>
    </font>
    <font>
      <sz val="11"/>
      <name val="Arimo"/>
      <family val="2"/>
    </font>
    <font>
      <b/>
      <sz val="14"/>
      <name val="Arimo"/>
      <family val="2"/>
    </font>
    <font>
      <b/>
      <sz val="11"/>
      <name val="Arimo"/>
      <family val="2"/>
    </font>
    <font>
      <b/>
      <sz val="11"/>
      <color rgb="FFFF0000"/>
      <name val="Arimo"/>
      <family val="2"/>
    </font>
    <font>
      <b/>
      <sz val="11"/>
      <color rgb="FF0000FF"/>
      <name val="Arimo"/>
      <family val="2"/>
    </font>
    <font>
      <b/>
      <u/>
      <sz val="10"/>
      <name val="Arimo"/>
      <family val="2"/>
    </font>
    <font>
      <b/>
      <sz val="10"/>
      <name val="Arimo"/>
      <family val="2"/>
    </font>
    <font>
      <sz val="10"/>
      <name val="Arial"/>
      <family val="2"/>
    </font>
    <font>
      <sz val="9"/>
      <name val="Arimo"/>
      <family val="2"/>
    </font>
    <font>
      <b/>
      <sz val="10"/>
      <name val="Arimo"/>
    </font>
    <font>
      <b/>
      <sz val="10"/>
      <name val="Arial Narrow"/>
      <family val="2"/>
    </font>
    <font>
      <sz val="9"/>
      <name val="Arial Narrow"/>
      <family val="2"/>
    </font>
    <font>
      <b/>
      <sz val="9"/>
      <color rgb="FF0000FF"/>
      <name val="Arial Narrow"/>
      <family val="2"/>
    </font>
    <font>
      <sz val="8"/>
      <name val="Arimo"/>
      <family val="2"/>
    </font>
    <font>
      <sz val="10"/>
      <name val="Calibri"/>
      <family val="2"/>
    </font>
    <font>
      <b/>
      <sz val="28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rgb="FF0000FF"/>
      <name val="Calibri"/>
      <family val="2"/>
    </font>
    <font>
      <b/>
      <u/>
      <sz val="11"/>
      <name val="Calibri"/>
      <family val="2"/>
    </font>
    <font>
      <b/>
      <sz val="11"/>
      <color rgb="FFD8D8D8"/>
      <name val="Calibri"/>
      <family val="2"/>
    </font>
    <font>
      <sz val="11"/>
      <color rgb="FFFFFFFF"/>
      <name val="Calibri"/>
      <family val="2"/>
    </font>
    <font>
      <sz val="11"/>
      <color rgb="FF0000FF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name val="Arial Narrow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</font>
    <font>
      <b/>
      <sz val="11"/>
      <color rgb="FFFFFFFF"/>
      <name val="Calibri"/>
      <family val="2"/>
    </font>
    <font>
      <sz val="9.5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8"/>
      <color theme="1"/>
      <name val="Calibri"/>
      <family val="2"/>
      <scheme val="minor"/>
    </font>
    <font>
      <b/>
      <sz val="6"/>
      <color rgb="FF000000"/>
      <name val="Tahoma"/>
      <family val="2"/>
    </font>
    <font>
      <sz val="8"/>
      <color rgb="FF000000"/>
      <name val="Tahoma"/>
      <family val="2"/>
    </font>
    <font>
      <sz val="6"/>
      <color rgb="FF000000"/>
      <name val="Tahoma"/>
      <family val="2"/>
    </font>
    <font>
      <sz val="7"/>
      <color rgb="FF000000"/>
      <name val="Tahoma"/>
      <family val="2"/>
    </font>
    <font>
      <b/>
      <sz val="5.5"/>
      <color rgb="FF000000"/>
      <name val="Tahoma"/>
      <family val="2"/>
    </font>
    <font>
      <sz val="9"/>
      <color rgb="FF000000"/>
      <name val="Arial"/>
      <family val="2"/>
    </font>
    <font>
      <sz val="7"/>
      <color rgb="FF000000"/>
      <name val="Calibri"/>
      <family val="2"/>
      <scheme val="minor"/>
    </font>
    <font>
      <sz val="7"/>
      <color rgb="FF000000"/>
      <name val="Arial"/>
      <family val="2"/>
    </font>
    <font>
      <sz val="11"/>
      <color rgb="FF000000"/>
      <name val="Agency FB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9" tint="0.79998168889431442"/>
        <bgColor rgb="FFD8D8D8"/>
      </patternFill>
    </fill>
    <fill>
      <patternFill patternType="solid">
        <fgColor theme="9" tint="0.79998168889431442"/>
        <bgColor rgb="FFFFFF00"/>
      </patternFill>
    </fill>
    <fill>
      <patternFill patternType="solid">
        <fgColor rgb="FFFDE9D9"/>
        <bgColor rgb="FFFDE9D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rgb="FF4F6128"/>
        <bgColor rgb="FF4F6128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ABF8F"/>
        <bgColor rgb="FFFABF8F"/>
      </patternFill>
    </fill>
    <fill>
      <patternFill patternType="solid">
        <fgColor theme="8" tint="0.39997558519241921"/>
        <bgColor rgb="FFFABF8F"/>
      </patternFill>
    </fill>
    <fill>
      <patternFill patternType="solid">
        <fgColor theme="9" tint="0.39997558519241921"/>
        <bgColor rgb="FFFABF8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D8D8D8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4F6128"/>
      </patternFill>
    </fill>
  </fills>
  <borders count="5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0" fontId="3" fillId="0" borderId="0"/>
    <xf numFmtId="43" fontId="3" fillId="0" borderId="0" applyFont="0" applyFill="0" applyBorder="0" applyAlignment="0" applyProtection="0"/>
  </cellStyleXfs>
  <cellXfs count="316">
    <xf numFmtId="0" fontId="0" fillId="0" borderId="0" xfId="0"/>
    <xf numFmtId="0" fontId="4" fillId="0" borderId="0" xfId="3" applyFont="1" applyAlignment="1">
      <alignment vertical="center"/>
    </xf>
    <xf numFmtId="0" fontId="4" fillId="0" borderId="0" xfId="3" applyFont="1" applyAlignment="1">
      <alignment horizontal="center" vertical="center"/>
    </xf>
    <xf numFmtId="165" fontId="4" fillId="0" borderId="0" xfId="3" applyNumberFormat="1" applyFont="1" applyAlignment="1">
      <alignment vertical="center"/>
    </xf>
    <xf numFmtId="0" fontId="3" fillId="0" borderId="0" xfId="3"/>
    <xf numFmtId="165" fontId="6" fillId="0" borderId="0" xfId="3" applyNumberFormat="1" applyFont="1" applyAlignment="1">
      <alignment vertical="center"/>
    </xf>
    <xf numFmtId="0" fontId="6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8" fillId="2" borderId="0" xfId="3" applyFont="1" applyFill="1" applyAlignment="1">
      <alignment horizontal="left" vertical="center"/>
    </xf>
    <xf numFmtId="0" fontId="6" fillId="0" borderId="0" xfId="3" applyFont="1" applyAlignment="1">
      <alignment horizontal="left" vertical="center"/>
    </xf>
    <xf numFmtId="0" fontId="9" fillId="2" borderId="0" xfId="3" applyFont="1" applyFill="1" applyAlignment="1">
      <alignment horizontal="left" vertical="center"/>
    </xf>
    <xf numFmtId="0" fontId="6" fillId="2" borderId="0" xfId="3" applyFont="1" applyFill="1" applyAlignment="1">
      <alignment horizontal="left" vertical="center"/>
    </xf>
    <xf numFmtId="49" fontId="10" fillId="2" borderId="0" xfId="3" applyNumberFormat="1" applyFont="1" applyFill="1" applyAlignment="1">
      <alignment horizontal="right" vertical="center"/>
    </xf>
    <xf numFmtId="0" fontId="10" fillId="2" borderId="0" xfId="3" applyFont="1" applyFill="1" applyAlignment="1">
      <alignment horizontal="left" vertical="center"/>
    </xf>
    <xf numFmtId="1" fontId="10" fillId="2" borderId="0" xfId="3" applyNumberFormat="1" applyFont="1" applyFill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11" fillId="0" borderId="0" xfId="3" applyFont="1" applyAlignment="1">
      <alignment vertical="center"/>
    </xf>
    <xf numFmtId="0" fontId="12" fillId="3" borderId="0" xfId="3" applyFont="1" applyFill="1" applyAlignment="1">
      <alignment vertical="center"/>
    </xf>
    <xf numFmtId="0" fontId="11" fillId="3" borderId="0" xfId="3" applyFont="1" applyFill="1" applyAlignment="1">
      <alignment vertical="center"/>
    </xf>
    <xf numFmtId="0" fontId="12" fillId="3" borderId="0" xfId="3" applyFont="1" applyFill="1" applyAlignment="1">
      <alignment horizontal="right" vertical="center"/>
    </xf>
    <xf numFmtId="166" fontId="12" fillId="3" borderId="0" xfId="3" applyNumberFormat="1" applyFont="1" applyFill="1" applyAlignment="1">
      <alignment vertical="center"/>
    </xf>
    <xf numFmtId="0" fontId="12" fillId="0" borderId="0" xfId="3" applyFont="1" applyAlignment="1">
      <alignment vertical="center"/>
    </xf>
    <xf numFmtId="167" fontId="12" fillId="0" borderId="3" xfId="3" applyNumberFormat="1" applyFont="1" applyBorder="1" applyAlignment="1">
      <alignment vertical="center"/>
    </xf>
    <xf numFmtId="168" fontId="4" fillId="0" borderId="0" xfId="3" applyNumberFormat="1" applyFont="1" applyAlignment="1">
      <alignment vertical="center"/>
    </xf>
    <xf numFmtId="0" fontId="12" fillId="4" borderId="4" xfId="3" applyFont="1" applyFill="1" applyBorder="1" applyAlignment="1">
      <alignment horizontal="center" vertical="center"/>
    </xf>
    <xf numFmtId="0" fontId="12" fillId="4" borderId="4" xfId="3" applyFont="1" applyFill="1" applyBorder="1" applyAlignment="1">
      <alignment horizontal="center" vertical="center" wrapText="1"/>
    </xf>
    <xf numFmtId="165" fontId="12" fillId="4" borderId="4" xfId="3" applyNumberFormat="1" applyFont="1" applyFill="1" applyBorder="1" applyAlignment="1">
      <alignment horizontal="center" vertical="center" wrapText="1"/>
    </xf>
    <xf numFmtId="3" fontId="4" fillId="0" borderId="5" xfId="3" applyNumberFormat="1" applyFont="1" applyBorder="1" applyAlignment="1">
      <alignment horizontal="center" vertical="center"/>
    </xf>
    <xf numFmtId="170" fontId="14" fillId="0" borderId="4" xfId="3" applyNumberFormat="1" applyFont="1" applyBorder="1" applyAlignment="1">
      <alignment horizontal="center" vertical="center" wrapText="1"/>
    </xf>
    <xf numFmtId="3" fontId="14" fillId="0" borderId="4" xfId="3" applyNumberFormat="1" applyFont="1" applyBorder="1" applyAlignment="1">
      <alignment horizontal="center" vertical="center" wrapText="1"/>
    </xf>
    <xf numFmtId="3" fontId="14" fillId="0" borderId="4" xfId="3" applyNumberFormat="1" applyFont="1" applyBorder="1" applyAlignment="1">
      <alignment horizontal="left" vertical="center" wrapText="1"/>
    </xf>
    <xf numFmtId="167" fontId="14" fillId="2" borderId="4" xfId="3" applyNumberFormat="1" applyFont="1" applyFill="1" applyBorder="1" applyAlignment="1">
      <alignment vertical="center"/>
    </xf>
    <xf numFmtId="10" fontId="4" fillId="0" borderId="4" xfId="3" applyNumberFormat="1" applyFont="1" applyBorder="1" applyAlignment="1">
      <alignment horizontal="center" vertical="center" wrapText="1"/>
    </xf>
    <xf numFmtId="14" fontId="4" fillId="0" borderId="0" xfId="3" applyNumberFormat="1" applyFont="1" applyAlignment="1">
      <alignment vertical="center"/>
    </xf>
    <xf numFmtId="0" fontId="4" fillId="2" borderId="0" xfId="3" applyFont="1" applyFill="1" applyAlignment="1">
      <alignment vertical="center"/>
    </xf>
    <xf numFmtId="14" fontId="4" fillId="0" borderId="0" xfId="3" applyNumberFormat="1" applyFont="1" applyAlignment="1">
      <alignment horizontal="center" vertical="center"/>
    </xf>
    <xf numFmtId="1" fontId="4" fillId="2" borderId="0" xfId="3" applyNumberFormat="1" applyFont="1" applyFill="1" applyAlignment="1">
      <alignment horizontal="center" vertical="center"/>
    </xf>
    <xf numFmtId="0" fontId="12" fillId="3" borderId="6" xfId="3" applyFont="1" applyFill="1" applyBorder="1" applyAlignment="1">
      <alignment horizontal="center" vertical="center"/>
    </xf>
    <xf numFmtId="167" fontId="4" fillId="3" borderId="4" xfId="3" applyNumberFormat="1" applyFont="1" applyFill="1" applyBorder="1" applyAlignment="1">
      <alignment horizontal="right" vertical="center"/>
    </xf>
    <xf numFmtId="0" fontId="12" fillId="0" borderId="4" xfId="3" applyFont="1" applyBorder="1" applyAlignment="1">
      <alignment horizontal="center" vertical="center"/>
    </xf>
    <xf numFmtId="167" fontId="4" fillId="0" borderId="4" xfId="3" applyNumberFormat="1" applyFont="1" applyBorder="1" applyAlignment="1">
      <alignment horizontal="right" vertical="center"/>
    </xf>
    <xf numFmtId="0" fontId="12" fillId="3" borderId="4" xfId="3" applyFont="1" applyFill="1" applyBorder="1" applyAlignment="1">
      <alignment horizontal="center" vertical="center"/>
    </xf>
    <xf numFmtId="165" fontId="4" fillId="2" borderId="0" xfId="3" applyNumberFormat="1" applyFont="1" applyFill="1" applyAlignment="1">
      <alignment vertical="center"/>
    </xf>
    <xf numFmtId="165" fontId="4" fillId="2" borderId="0" xfId="3" applyNumberFormat="1" applyFont="1" applyFill="1" applyAlignment="1">
      <alignment horizontal="center" vertical="center"/>
    </xf>
    <xf numFmtId="0" fontId="12" fillId="2" borderId="0" xfId="3" applyFont="1" applyFill="1" applyAlignment="1">
      <alignment horizontal="center" vertical="center"/>
    </xf>
    <xf numFmtId="165" fontId="4" fillId="0" borderId="0" xfId="3" applyNumberFormat="1" applyFont="1" applyAlignment="1">
      <alignment horizontal="center" vertical="center"/>
    </xf>
    <xf numFmtId="3" fontId="4" fillId="0" borderId="0" xfId="3" applyNumberFormat="1" applyFont="1" applyAlignment="1">
      <alignment vertical="center"/>
    </xf>
    <xf numFmtId="167" fontId="4" fillId="2" borderId="4" xfId="3" applyNumberFormat="1" applyFont="1" applyFill="1" applyBorder="1" applyAlignment="1">
      <alignment vertical="center"/>
    </xf>
    <xf numFmtId="165" fontId="12" fillId="0" borderId="0" xfId="3" applyNumberFormat="1" applyFont="1" applyAlignment="1">
      <alignment vertical="center"/>
    </xf>
    <xf numFmtId="0" fontId="12" fillId="0" borderId="7" xfId="3" applyFont="1" applyBorder="1" applyAlignment="1">
      <alignment horizontal="center" vertical="center"/>
    </xf>
    <xf numFmtId="0" fontId="15" fillId="5" borderId="8" xfId="3" applyFont="1" applyFill="1" applyBorder="1" applyAlignment="1">
      <alignment vertical="center" wrapText="1"/>
    </xf>
    <xf numFmtId="165" fontId="12" fillId="0" borderId="8" xfId="3" applyNumberFormat="1" applyFont="1" applyBorder="1" applyAlignment="1">
      <alignment vertical="center"/>
    </xf>
    <xf numFmtId="165" fontId="16" fillId="0" borderId="4" xfId="3" applyNumberFormat="1" applyFont="1" applyBorder="1" applyAlignment="1">
      <alignment vertical="center" wrapText="1"/>
    </xf>
    <xf numFmtId="165" fontId="16" fillId="3" borderId="4" xfId="3" applyNumberFormat="1" applyFont="1" applyFill="1" applyBorder="1" applyAlignment="1">
      <alignment horizontal="left" vertical="center"/>
    </xf>
    <xf numFmtId="165" fontId="12" fillId="0" borderId="0" xfId="3" applyNumberFormat="1" applyFont="1" applyAlignment="1">
      <alignment horizontal="right" vertical="center"/>
    </xf>
    <xf numFmtId="165" fontId="4" fillId="0" borderId="10" xfId="3" applyNumberFormat="1" applyFont="1" applyBorder="1" applyAlignment="1">
      <alignment horizontal="center" vertical="center"/>
    </xf>
    <xf numFmtId="167" fontId="14" fillId="0" borderId="11" xfId="3" applyNumberFormat="1" applyFont="1" applyBorder="1" applyAlignment="1">
      <alignment horizontal="right" vertical="center"/>
    </xf>
    <xf numFmtId="165" fontId="4" fillId="0" borderId="10" xfId="3" applyNumberFormat="1" applyFont="1" applyBorder="1" applyAlignment="1">
      <alignment horizontal="center" vertical="center" wrapText="1"/>
    </xf>
    <xf numFmtId="167" fontId="14" fillId="0" borderId="12" xfId="3" applyNumberFormat="1" applyFont="1" applyBorder="1" applyAlignment="1">
      <alignment horizontal="right" vertical="center"/>
    </xf>
    <xf numFmtId="9" fontId="4" fillId="0" borderId="0" xfId="3" applyNumberFormat="1" applyFont="1" applyAlignment="1">
      <alignment vertical="center"/>
    </xf>
    <xf numFmtId="9" fontId="4" fillId="0" borderId="13" xfId="3" applyNumberFormat="1" applyFont="1" applyBorder="1" applyAlignment="1">
      <alignment horizontal="center" vertical="center"/>
    </xf>
    <xf numFmtId="167" fontId="14" fillId="0" borderId="14" xfId="3" applyNumberFormat="1" applyFont="1" applyBorder="1" applyAlignment="1">
      <alignment horizontal="right" vertical="center"/>
    </xf>
    <xf numFmtId="165" fontId="12" fillId="3" borderId="15" xfId="3" applyNumberFormat="1" applyFont="1" applyFill="1" applyBorder="1" applyAlignment="1">
      <alignment horizontal="center" vertical="center"/>
    </xf>
    <xf numFmtId="167" fontId="14" fillId="3" borderId="16" xfId="3" applyNumberFormat="1" applyFont="1" applyFill="1" applyBorder="1" applyAlignment="1">
      <alignment horizontal="right" vertical="center"/>
    </xf>
    <xf numFmtId="0" fontId="12" fillId="3" borderId="15" xfId="3" applyFont="1" applyFill="1" applyBorder="1" applyAlignment="1">
      <alignment horizontal="center" vertical="center"/>
    </xf>
    <xf numFmtId="167" fontId="14" fillId="3" borderId="17" xfId="3" applyNumberFormat="1" applyFont="1" applyFill="1" applyBorder="1" applyAlignment="1">
      <alignment horizontal="right" vertical="center"/>
    </xf>
    <xf numFmtId="0" fontId="12" fillId="6" borderId="0" xfId="3" applyFont="1" applyFill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9" fillId="6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20" fillId="0" borderId="0" xfId="3" applyFont="1" applyAlignment="1">
      <alignment vertical="center"/>
    </xf>
    <xf numFmtId="167" fontId="20" fillId="0" borderId="0" xfId="3" applyNumberFormat="1" applyFont="1" applyAlignment="1">
      <alignment vertical="center"/>
    </xf>
    <xf numFmtId="0" fontId="21" fillId="0" borderId="0" xfId="3" applyFont="1" applyAlignment="1">
      <alignment horizontal="left" vertical="center"/>
    </xf>
    <xf numFmtId="0" fontId="22" fillId="0" borderId="0" xfId="3" applyFont="1" applyAlignment="1">
      <alignment vertical="center"/>
    </xf>
    <xf numFmtId="167" fontId="22" fillId="0" borderId="0" xfId="3" applyNumberFormat="1" applyFont="1" applyAlignment="1">
      <alignment vertical="center"/>
    </xf>
    <xf numFmtId="165" fontId="22" fillId="0" borderId="0" xfId="3" applyNumberFormat="1" applyFont="1" applyAlignment="1">
      <alignment vertical="center"/>
    </xf>
    <xf numFmtId="0" fontId="23" fillId="0" borderId="0" xfId="3" applyFont="1" applyAlignment="1">
      <alignment horizontal="center" vertical="center"/>
    </xf>
    <xf numFmtId="0" fontId="24" fillId="2" borderId="0" xfId="3" applyFont="1" applyFill="1" applyAlignment="1">
      <alignment horizontal="left" vertical="center"/>
    </xf>
    <xf numFmtId="0" fontId="22" fillId="0" borderId="0" xfId="3" applyFont="1" applyAlignment="1">
      <alignment horizontal="left" vertical="center"/>
    </xf>
    <xf numFmtId="0" fontId="25" fillId="2" borderId="0" xfId="3" applyFont="1" applyFill="1" applyAlignment="1">
      <alignment horizontal="left" vertical="center"/>
    </xf>
    <xf numFmtId="0" fontId="22" fillId="2" borderId="0" xfId="3" applyFont="1" applyFill="1" applyAlignment="1">
      <alignment horizontal="left" vertical="center"/>
    </xf>
    <xf numFmtId="49" fontId="26" fillId="2" borderId="0" xfId="3" applyNumberFormat="1" applyFont="1" applyFill="1" applyAlignment="1">
      <alignment horizontal="right" vertical="center"/>
    </xf>
    <xf numFmtId="167" fontId="22" fillId="0" borderId="0" xfId="3" applyNumberFormat="1" applyFont="1" applyAlignment="1">
      <alignment horizontal="left" vertical="center"/>
    </xf>
    <xf numFmtId="0" fontId="20" fillId="0" borderId="0" xfId="3" applyFont="1" applyAlignment="1">
      <alignment horizontal="left" vertical="center"/>
    </xf>
    <xf numFmtId="1" fontId="26" fillId="7" borderId="21" xfId="3" applyNumberFormat="1" applyFont="1" applyFill="1" applyBorder="1" applyAlignment="1">
      <alignment horizontal="left" vertical="center"/>
    </xf>
    <xf numFmtId="0" fontId="24" fillId="0" borderId="0" xfId="3" applyFont="1" applyAlignment="1">
      <alignment horizontal="left" vertical="center"/>
    </xf>
    <xf numFmtId="1" fontId="26" fillId="0" borderId="0" xfId="3" applyNumberFormat="1" applyFont="1" applyAlignment="1">
      <alignment horizontal="center" vertical="center"/>
    </xf>
    <xf numFmtId="0" fontId="22" fillId="3" borderId="0" xfId="3" applyFont="1" applyFill="1" applyAlignment="1">
      <alignment horizontal="left" vertical="center"/>
    </xf>
    <xf numFmtId="0" fontId="27" fillId="3" borderId="0" xfId="3" applyFont="1" applyFill="1" applyAlignment="1">
      <alignment horizontal="left" vertical="center"/>
    </xf>
    <xf numFmtId="0" fontId="24" fillId="8" borderId="0" xfId="3" applyFont="1" applyFill="1" applyAlignment="1">
      <alignment horizontal="center" vertical="center"/>
    </xf>
    <xf numFmtId="0" fontId="24" fillId="3" borderId="0" xfId="3" applyFont="1" applyFill="1" applyAlignment="1">
      <alignment horizontal="center" vertical="center"/>
    </xf>
    <xf numFmtId="0" fontId="24" fillId="3" borderId="0" xfId="3" applyFont="1" applyFill="1" applyAlignment="1">
      <alignment horizontal="left" vertical="center"/>
    </xf>
    <xf numFmtId="0" fontId="28" fillId="3" borderId="0" xfId="3" applyFont="1" applyFill="1" applyAlignment="1">
      <alignment horizontal="center" vertical="center"/>
    </xf>
    <xf numFmtId="167" fontId="24" fillId="3" borderId="0" xfId="3" applyNumberFormat="1" applyFont="1" applyFill="1" applyAlignment="1">
      <alignment horizontal="left" vertical="center"/>
    </xf>
    <xf numFmtId="0" fontId="22" fillId="0" borderId="9" xfId="3" applyFont="1" applyBorder="1" applyAlignment="1">
      <alignment vertical="center" wrapText="1"/>
    </xf>
    <xf numFmtId="0" fontId="27" fillId="0" borderId="9" xfId="3" applyFont="1" applyBorder="1" applyAlignment="1">
      <alignment vertical="center" wrapText="1"/>
    </xf>
    <xf numFmtId="165" fontId="22" fillId="0" borderId="9" xfId="3" applyNumberFormat="1" applyFont="1" applyBorder="1" applyAlignment="1">
      <alignment vertical="center" wrapText="1"/>
    </xf>
    <xf numFmtId="0" fontId="22" fillId="0" borderId="9" xfId="3" applyFont="1" applyBorder="1" applyAlignment="1">
      <alignment horizontal="center" vertical="center" wrapText="1"/>
    </xf>
    <xf numFmtId="167" fontId="22" fillId="0" borderId="9" xfId="3" applyNumberFormat="1" applyFont="1" applyBorder="1" applyAlignment="1">
      <alignment vertical="center"/>
    </xf>
    <xf numFmtId="0" fontId="22" fillId="0" borderId="9" xfId="3" applyFont="1" applyBorder="1" applyAlignment="1">
      <alignment vertical="center"/>
    </xf>
    <xf numFmtId="0" fontId="20" fillId="0" borderId="9" xfId="3" applyFont="1" applyBorder="1" applyAlignment="1">
      <alignment vertical="center"/>
    </xf>
    <xf numFmtId="0" fontId="22" fillId="0" borderId="0" xfId="3" applyFont="1" applyAlignment="1">
      <alignment vertical="center" wrapText="1"/>
    </xf>
    <xf numFmtId="0" fontId="27" fillId="0" borderId="0" xfId="3" applyFont="1" applyAlignment="1">
      <alignment vertical="center" wrapText="1"/>
    </xf>
    <xf numFmtId="0" fontId="24" fillId="2" borderId="1" xfId="3" applyFont="1" applyFill="1" applyBorder="1" applyAlignment="1">
      <alignment horizontal="left" vertical="center"/>
    </xf>
    <xf numFmtId="0" fontId="22" fillId="2" borderId="2" xfId="3" applyFont="1" applyFill="1" applyBorder="1" applyAlignment="1">
      <alignment horizontal="center" vertical="center" wrapText="1"/>
    </xf>
    <xf numFmtId="10" fontId="29" fillId="2" borderId="2" xfId="3" applyNumberFormat="1" applyFont="1" applyFill="1" applyBorder="1" applyAlignment="1">
      <alignment horizontal="center" vertical="center" wrapText="1"/>
    </xf>
    <xf numFmtId="167" fontId="24" fillId="2" borderId="3" xfId="3" applyNumberFormat="1" applyFont="1" applyFill="1" applyBorder="1" applyAlignment="1">
      <alignment horizontal="center" vertical="center" wrapText="1"/>
    </xf>
    <xf numFmtId="172" fontId="25" fillId="10" borderId="0" xfId="3" applyNumberFormat="1" applyFont="1" applyFill="1" applyAlignment="1">
      <alignment horizontal="right" vertical="center" wrapText="1"/>
    </xf>
    <xf numFmtId="10" fontId="25" fillId="0" borderId="0" xfId="3" applyNumberFormat="1" applyFont="1" applyAlignment="1">
      <alignment horizontal="left" vertical="center" wrapText="1"/>
    </xf>
    <xf numFmtId="0" fontId="22" fillId="0" borderId="0" xfId="3" applyFont="1" applyAlignment="1">
      <alignment horizontal="center" vertical="center" wrapText="1"/>
    </xf>
    <xf numFmtId="164" fontId="25" fillId="10" borderId="0" xfId="3" applyNumberFormat="1" applyFont="1" applyFill="1" applyAlignment="1">
      <alignment vertical="center" wrapText="1"/>
    </xf>
    <xf numFmtId="4" fontId="24" fillId="0" borderId="0" xfId="3" applyNumberFormat="1" applyFont="1" applyAlignment="1">
      <alignment horizontal="right" vertical="center" wrapText="1"/>
    </xf>
    <xf numFmtId="165" fontId="22" fillId="0" borderId="0" xfId="3" applyNumberFormat="1" applyFont="1" applyAlignment="1">
      <alignment horizontal="right" vertical="center" wrapText="1"/>
    </xf>
    <xf numFmtId="0" fontId="30" fillId="0" borderId="0" xfId="3" applyFont="1" applyAlignment="1">
      <alignment horizontal="left" vertical="center" wrapText="1"/>
    </xf>
    <xf numFmtId="173" fontId="25" fillId="10" borderId="0" xfId="3" applyNumberFormat="1" applyFont="1" applyFill="1" applyAlignment="1">
      <alignment vertical="center" wrapText="1"/>
    </xf>
    <xf numFmtId="0" fontId="24" fillId="4" borderId="4" xfId="3" applyFont="1" applyFill="1" applyBorder="1" applyAlignment="1">
      <alignment horizontal="center" vertical="center" wrapText="1"/>
    </xf>
    <xf numFmtId="0" fontId="24" fillId="4" borderId="23" xfId="3" applyFont="1" applyFill="1" applyBorder="1" applyAlignment="1">
      <alignment horizontal="center" vertical="center" wrapText="1"/>
    </xf>
    <xf numFmtId="167" fontId="24" fillId="4" borderId="4" xfId="3" applyNumberFormat="1" applyFont="1" applyFill="1" applyBorder="1" applyAlignment="1">
      <alignment horizontal="center" vertical="center" wrapText="1"/>
    </xf>
    <xf numFmtId="165" fontId="24" fillId="4" borderId="4" xfId="3" applyNumberFormat="1" applyFont="1" applyFill="1" applyBorder="1" applyAlignment="1">
      <alignment horizontal="center" vertical="center" wrapText="1"/>
    </xf>
    <xf numFmtId="0" fontId="31" fillId="11" borderId="23" xfId="3" applyFont="1" applyFill="1" applyBorder="1" applyAlignment="1">
      <alignment horizontal="center" vertical="center" wrapText="1"/>
    </xf>
    <xf numFmtId="0" fontId="31" fillId="11" borderId="8" xfId="3" applyFont="1" applyFill="1" applyBorder="1" applyAlignment="1">
      <alignment horizontal="center" vertical="center" wrapText="1"/>
    </xf>
    <xf numFmtId="0" fontId="20" fillId="0" borderId="0" xfId="3" applyFont="1" applyAlignment="1">
      <alignment horizontal="center" vertical="center" wrapText="1"/>
    </xf>
    <xf numFmtId="0" fontId="32" fillId="0" borderId="0" xfId="3" applyFont="1" applyAlignment="1">
      <alignment horizontal="center" vertical="center" wrapText="1"/>
    </xf>
    <xf numFmtId="174" fontId="30" fillId="6" borderId="4" xfId="3" applyNumberFormat="1" applyFont="1" applyFill="1" applyBorder="1" applyAlignment="1">
      <alignment horizontal="center" vertical="center" wrapText="1"/>
    </xf>
    <xf numFmtId="1" fontId="30" fillId="6" borderId="4" xfId="3" applyNumberFormat="1" applyFont="1" applyFill="1" applyBorder="1" applyAlignment="1">
      <alignment horizontal="center" vertical="center" wrapText="1"/>
    </xf>
    <xf numFmtId="175" fontId="33" fillId="0" borderId="4" xfId="3" applyNumberFormat="1" applyFont="1" applyBorder="1" applyAlignment="1">
      <alignment horizontal="left" vertical="center" wrapText="1"/>
    </xf>
    <xf numFmtId="1" fontId="22" fillId="2" borderId="4" xfId="3" applyNumberFormat="1" applyFont="1" applyFill="1" applyBorder="1" applyAlignment="1">
      <alignment horizontal="center" vertical="center" wrapText="1"/>
    </xf>
    <xf numFmtId="0" fontId="22" fillId="0" borderId="4" xfId="3" applyFont="1" applyBorder="1" applyAlignment="1">
      <alignment horizontal="left" vertical="center" wrapText="1"/>
    </xf>
    <xf numFmtId="0" fontId="30" fillId="6" borderId="4" xfId="3" applyFont="1" applyFill="1" applyBorder="1" applyAlignment="1">
      <alignment horizontal="left" vertical="center" wrapText="1"/>
    </xf>
    <xf numFmtId="0" fontId="30" fillId="6" borderId="4" xfId="3" applyFont="1" applyFill="1" applyBorder="1" applyAlignment="1">
      <alignment horizontal="center" vertical="center" wrapText="1"/>
    </xf>
    <xf numFmtId="176" fontId="30" fillId="6" borderId="4" xfId="3" applyNumberFormat="1" applyFont="1" applyFill="1" applyBorder="1" applyAlignment="1">
      <alignment horizontal="left" vertical="center" wrapText="1"/>
    </xf>
    <xf numFmtId="167" fontId="34" fillId="0" borderId="4" xfId="3" applyNumberFormat="1" applyFont="1" applyBorder="1" applyAlignment="1">
      <alignment vertical="center" wrapText="1"/>
    </xf>
    <xf numFmtId="10" fontId="30" fillId="6" borderId="4" xfId="3" applyNumberFormat="1" applyFont="1" applyFill="1" applyBorder="1" applyAlignment="1">
      <alignment horizontal="center" vertical="center" wrapText="1"/>
    </xf>
    <xf numFmtId="167" fontId="22" fillId="11" borderId="23" xfId="3" applyNumberFormat="1" applyFont="1" applyFill="1" applyBorder="1" applyAlignment="1">
      <alignment vertical="center" wrapText="1"/>
    </xf>
    <xf numFmtId="164" fontId="22" fillId="12" borderId="8" xfId="3" applyNumberFormat="1" applyFont="1" applyFill="1" applyBorder="1" applyAlignment="1">
      <alignment horizontal="left" vertical="center" wrapText="1"/>
    </xf>
    <xf numFmtId="176" fontId="22" fillId="0" borderId="0" xfId="3" applyNumberFormat="1" applyFont="1" applyAlignment="1">
      <alignment vertical="center"/>
    </xf>
    <xf numFmtId="0" fontId="32" fillId="0" borderId="0" xfId="3" applyFont="1" applyAlignment="1">
      <alignment vertical="center"/>
    </xf>
    <xf numFmtId="174" fontId="22" fillId="0" borderId="0" xfId="3" applyNumberFormat="1" applyFont="1" applyAlignment="1">
      <alignment horizontal="center" vertical="center" wrapText="1"/>
    </xf>
    <xf numFmtId="0" fontId="22" fillId="2" borderId="0" xfId="3" applyFont="1" applyFill="1" applyAlignment="1">
      <alignment horizontal="center" vertical="center" wrapText="1"/>
    </xf>
    <xf numFmtId="14" fontId="22" fillId="0" borderId="0" xfId="3" applyNumberFormat="1" applyFont="1" applyAlignment="1">
      <alignment horizontal="center" vertical="center" wrapText="1"/>
    </xf>
    <xf numFmtId="1" fontId="22" fillId="2" borderId="0" xfId="3" applyNumberFormat="1" applyFont="1" applyFill="1" applyAlignment="1">
      <alignment horizontal="center" vertical="center" wrapText="1"/>
    </xf>
    <xf numFmtId="0" fontId="24" fillId="3" borderId="6" xfId="3" applyFont="1" applyFill="1" applyBorder="1" applyAlignment="1">
      <alignment horizontal="center" vertical="center" wrapText="1"/>
    </xf>
    <xf numFmtId="167" fontId="24" fillId="3" borderId="4" xfId="3" applyNumberFormat="1" applyFont="1" applyFill="1" applyBorder="1" applyAlignment="1">
      <alignment vertical="center" wrapText="1"/>
    </xf>
    <xf numFmtId="167" fontId="24" fillId="0" borderId="0" xfId="3" applyNumberFormat="1" applyFont="1" applyAlignment="1">
      <alignment vertical="center" wrapText="1"/>
    </xf>
    <xf numFmtId="164" fontId="24" fillId="3" borderId="4" xfId="3" applyNumberFormat="1" applyFont="1" applyFill="1" applyBorder="1" applyAlignment="1">
      <alignment vertical="center" wrapText="1"/>
    </xf>
    <xf numFmtId="0" fontId="22" fillId="2" borderId="0" xfId="3" applyFont="1" applyFill="1" applyAlignment="1">
      <alignment vertical="center" wrapText="1"/>
    </xf>
    <xf numFmtId="165" fontId="22" fillId="2" borderId="0" xfId="3" applyNumberFormat="1" applyFont="1" applyFill="1" applyAlignment="1">
      <alignment vertical="center" wrapText="1"/>
    </xf>
    <xf numFmtId="165" fontId="22" fillId="2" borderId="0" xfId="3" applyNumberFormat="1" applyFont="1" applyFill="1" applyAlignment="1">
      <alignment horizontal="center" vertical="center" wrapText="1"/>
    </xf>
    <xf numFmtId="0" fontId="24" fillId="4" borderId="24" xfId="3" applyFont="1" applyFill="1" applyBorder="1" applyAlignment="1">
      <alignment horizontal="center" vertical="center" wrapText="1"/>
    </xf>
    <xf numFmtId="0" fontId="35" fillId="13" borderId="4" xfId="3" applyFont="1" applyFill="1" applyBorder="1" applyAlignment="1">
      <alignment horizontal="center" vertical="center" wrapText="1"/>
    </xf>
    <xf numFmtId="0" fontId="35" fillId="13" borderId="23" xfId="3" applyFont="1" applyFill="1" applyBorder="1" applyAlignment="1">
      <alignment horizontal="center" vertical="center" wrapText="1"/>
    </xf>
    <xf numFmtId="0" fontId="36" fillId="14" borderId="8" xfId="3" applyFont="1" applyFill="1" applyBorder="1" applyAlignment="1">
      <alignment horizontal="center" vertical="center"/>
    </xf>
    <xf numFmtId="172" fontId="25" fillId="15" borderId="0" xfId="3" applyNumberFormat="1" applyFont="1" applyFill="1" applyAlignment="1">
      <alignment horizontal="center" vertical="center" wrapText="1"/>
    </xf>
    <xf numFmtId="10" fontId="25" fillId="10" borderId="8" xfId="3" applyNumberFormat="1" applyFont="1" applyFill="1" applyBorder="1" applyAlignment="1">
      <alignment horizontal="center" vertical="center" wrapText="1"/>
    </xf>
    <xf numFmtId="9" fontId="25" fillId="15" borderId="0" xfId="3" applyNumberFormat="1" applyFont="1" applyFill="1" applyAlignment="1">
      <alignment horizontal="center" vertical="center" wrapText="1"/>
    </xf>
    <xf numFmtId="0" fontId="22" fillId="15" borderId="0" xfId="3" applyFont="1" applyFill="1" applyAlignment="1">
      <alignment horizontal="center" vertical="center" wrapText="1"/>
    </xf>
    <xf numFmtId="167" fontId="22" fillId="0" borderId="6" xfId="3" applyNumberFormat="1" applyFont="1" applyBorder="1" applyAlignment="1">
      <alignment horizontal="right" vertical="center" wrapText="1"/>
    </xf>
    <xf numFmtId="167" fontId="22" fillId="0" borderId="4" xfId="3" applyNumberFormat="1" applyFont="1" applyBorder="1" applyAlignment="1">
      <alignment horizontal="right" vertical="center" wrapText="1"/>
    </xf>
    <xf numFmtId="178" fontId="16" fillId="7" borderId="4" xfId="3" applyNumberFormat="1" applyFont="1" applyFill="1" applyBorder="1" applyAlignment="1">
      <alignment horizontal="left" vertical="center" wrapText="1"/>
    </xf>
    <xf numFmtId="167" fontId="22" fillId="16" borderId="4" xfId="3" applyNumberFormat="1" applyFont="1" applyFill="1" applyBorder="1" applyAlignment="1">
      <alignment vertical="center" wrapText="1"/>
    </xf>
    <xf numFmtId="167" fontId="24" fillId="16" borderId="4" xfId="3" applyNumberFormat="1" applyFont="1" applyFill="1" applyBorder="1" applyAlignment="1">
      <alignment vertical="center" wrapText="1"/>
    </xf>
    <xf numFmtId="0" fontId="24" fillId="0" borderId="25" xfId="3" applyFont="1" applyBorder="1" applyAlignment="1">
      <alignment horizontal="center" vertical="center" wrapText="1"/>
    </xf>
    <xf numFmtId="167" fontId="24" fillId="3" borderId="4" xfId="3" applyNumberFormat="1" applyFont="1" applyFill="1" applyBorder="1" applyAlignment="1">
      <alignment horizontal="right" vertical="center" wrapText="1"/>
    </xf>
    <xf numFmtId="167" fontId="24" fillId="3" borderId="23" xfId="3" applyNumberFormat="1" applyFont="1" applyFill="1" applyBorder="1" applyAlignment="1">
      <alignment vertical="center" wrapText="1"/>
    </xf>
    <xf numFmtId="179" fontId="20" fillId="0" borderId="0" xfId="3" applyNumberFormat="1" applyFont="1" applyAlignment="1">
      <alignment vertical="center"/>
    </xf>
    <xf numFmtId="0" fontId="24" fillId="0" borderId="0" xfId="3" applyFont="1" applyAlignment="1">
      <alignment vertical="center" wrapText="1"/>
    </xf>
    <xf numFmtId="165" fontId="24" fillId="0" borderId="0" xfId="3" applyNumberFormat="1" applyFont="1" applyAlignment="1">
      <alignment vertical="center" wrapText="1"/>
    </xf>
    <xf numFmtId="173" fontId="24" fillId="0" borderId="0" xfId="3" applyNumberFormat="1" applyFont="1" applyAlignment="1">
      <alignment vertical="center" wrapText="1"/>
    </xf>
    <xf numFmtId="165" fontId="24" fillId="0" borderId="23" xfId="3" applyNumberFormat="1" applyFont="1" applyBorder="1" applyAlignment="1">
      <alignment vertical="center" wrapText="1"/>
    </xf>
    <xf numFmtId="167" fontId="24" fillId="0" borderId="4" xfId="3" applyNumberFormat="1" applyFont="1" applyBorder="1" applyAlignment="1">
      <alignment vertical="center" wrapText="1"/>
    </xf>
    <xf numFmtId="180" fontId="22" fillId="0" borderId="0" xfId="3" applyNumberFormat="1" applyFont="1" applyAlignment="1">
      <alignment vertical="center" wrapText="1"/>
    </xf>
    <xf numFmtId="174" fontId="22" fillId="0" borderId="0" xfId="3" applyNumberFormat="1" applyFont="1" applyAlignment="1">
      <alignment horizontal="right" vertical="center" wrapText="1"/>
    </xf>
    <xf numFmtId="165" fontId="24" fillId="3" borderId="26" xfId="3" applyNumberFormat="1" applyFont="1" applyFill="1" applyBorder="1" applyAlignment="1">
      <alignment horizontal="left" vertical="center" wrapText="1"/>
    </xf>
    <xf numFmtId="167" fontId="24" fillId="3" borderId="27" xfId="3" applyNumberFormat="1" applyFont="1" applyFill="1" applyBorder="1" applyAlignment="1">
      <alignment vertical="center" wrapText="1"/>
    </xf>
    <xf numFmtId="0" fontId="24" fillId="0" borderId="0" xfId="3" applyFont="1" applyAlignment="1">
      <alignment horizontal="right" vertical="center"/>
    </xf>
    <xf numFmtId="167" fontId="37" fillId="17" borderId="28" xfId="3" applyNumberFormat="1" applyFont="1" applyFill="1" applyBorder="1" applyAlignment="1">
      <alignment vertical="center"/>
    </xf>
    <xf numFmtId="167" fontId="22" fillId="0" borderId="0" xfId="3" applyNumberFormat="1" applyFont="1" applyAlignment="1">
      <alignment vertical="center" wrapText="1"/>
    </xf>
    <xf numFmtId="165" fontId="24" fillId="0" borderId="0" xfId="3" applyNumberFormat="1" applyFont="1" applyAlignment="1">
      <alignment horizontal="right" vertical="center" wrapText="1"/>
    </xf>
    <xf numFmtId="176" fontId="22" fillId="18" borderId="0" xfId="3" applyNumberFormat="1" applyFont="1" applyFill="1" applyAlignment="1">
      <alignment horizontal="left" vertical="center" wrapText="1"/>
    </xf>
    <xf numFmtId="0" fontId="22" fillId="18" borderId="0" xfId="3" applyFont="1" applyFill="1" applyAlignment="1">
      <alignment vertical="center"/>
    </xf>
    <xf numFmtId="0" fontId="3" fillId="18" borderId="0" xfId="3" applyFill="1"/>
    <xf numFmtId="176" fontId="22" fillId="19" borderId="0" xfId="3" applyNumberFormat="1" applyFont="1" applyFill="1" applyAlignment="1">
      <alignment horizontal="left" vertical="center" wrapText="1"/>
    </xf>
    <xf numFmtId="0" fontId="22" fillId="19" borderId="0" xfId="3" applyFont="1" applyFill="1" applyAlignment="1">
      <alignment vertical="center"/>
    </xf>
    <xf numFmtId="0" fontId="3" fillId="19" borderId="0" xfId="3" applyFill="1"/>
    <xf numFmtId="167" fontId="24" fillId="21" borderId="4" xfId="3" applyNumberFormat="1" applyFont="1" applyFill="1" applyBorder="1" applyAlignment="1">
      <alignment vertical="center" wrapText="1"/>
    </xf>
    <xf numFmtId="10" fontId="24" fillId="20" borderId="0" xfId="3" applyNumberFormat="1" applyFont="1" applyFill="1" applyAlignment="1">
      <alignment horizontal="right" vertical="center" indent="1"/>
    </xf>
    <xf numFmtId="167" fontId="22" fillId="20" borderId="0" xfId="3" applyNumberFormat="1" applyFont="1" applyFill="1" applyAlignment="1">
      <alignment vertical="center"/>
    </xf>
    <xf numFmtId="176" fontId="22" fillId="20" borderId="0" xfId="3" applyNumberFormat="1" applyFont="1" applyFill="1" applyAlignment="1">
      <alignment vertical="center"/>
    </xf>
    <xf numFmtId="10" fontId="24" fillId="12" borderId="0" xfId="3" applyNumberFormat="1" applyFont="1" applyFill="1" applyAlignment="1">
      <alignment horizontal="right" vertical="center" indent="1"/>
    </xf>
    <xf numFmtId="167" fontId="22" fillId="12" borderId="0" xfId="3" applyNumberFormat="1" applyFont="1" applyFill="1" applyAlignment="1">
      <alignment vertical="center"/>
    </xf>
    <xf numFmtId="176" fontId="22" fillId="12" borderId="0" xfId="3" applyNumberFormat="1" applyFont="1" applyFill="1" applyAlignment="1">
      <alignment vertical="center"/>
    </xf>
    <xf numFmtId="167" fontId="24" fillId="22" borderId="4" xfId="3" applyNumberFormat="1" applyFont="1" applyFill="1" applyBorder="1" applyAlignment="1">
      <alignment vertical="center" wrapText="1"/>
    </xf>
    <xf numFmtId="10" fontId="24" fillId="20" borderId="0" xfId="4" applyNumberFormat="1" applyFont="1" applyFill="1" applyAlignment="1">
      <alignment horizontal="right" vertical="center" indent="1"/>
    </xf>
    <xf numFmtId="0" fontId="22" fillId="20" borderId="0" xfId="3" applyFont="1" applyFill="1" applyAlignment="1">
      <alignment vertical="center"/>
    </xf>
    <xf numFmtId="0" fontId="3" fillId="20" borderId="0" xfId="3" applyFill="1"/>
    <xf numFmtId="10" fontId="24" fillId="12" borderId="0" xfId="4" applyNumberFormat="1" applyFont="1" applyFill="1" applyAlignment="1">
      <alignment horizontal="right" vertical="center" indent="1"/>
    </xf>
    <xf numFmtId="0" fontId="22" fillId="12" borderId="0" xfId="3" applyFont="1" applyFill="1" applyAlignment="1">
      <alignment vertical="center"/>
    </xf>
    <xf numFmtId="0" fontId="3" fillId="12" borderId="0" xfId="3" applyFill="1"/>
    <xf numFmtId="167" fontId="24" fillId="23" borderId="4" xfId="3" applyNumberFormat="1" applyFont="1" applyFill="1" applyBorder="1" applyAlignment="1">
      <alignment vertical="center" wrapText="1"/>
    </xf>
    <xf numFmtId="10" fontId="24" fillId="20" borderId="29" xfId="4" applyNumberFormat="1" applyFont="1" applyFill="1" applyBorder="1" applyAlignment="1">
      <alignment horizontal="right" vertical="center" indent="1"/>
    </xf>
    <xf numFmtId="10" fontId="24" fillId="12" borderId="29" xfId="4" applyNumberFormat="1" applyFont="1" applyFill="1" applyBorder="1" applyAlignment="1">
      <alignment horizontal="right" vertical="center" indent="1"/>
    </xf>
    <xf numFmtId="165" fontId="22" fillId="20" borderId="0" xfId="3" applyNumberFormat="1" applyFont="1" applyFill="1" applyAlignment="1">
      <alignment horizontal="center" vertical="center"/>
    </xf>
    <xf numFmtId="167" fontId="22" fillId="20" borderId="0" xfId="3" applyNumberFormat="1" applyFont="1" applyFill="1" applyAlignment="1">
      <alignment horizontal="right" vertical="center"/>
    </xf>
    <xf numFmtId="165" fontId="22" fillId="12" borderId="0" xfId="3" applyNumberFormat="1" applyFont="1" applyFill="1" applyAlignment="1">
      <alignment horizontal="center" vertical="center"/>
    </xf>
    <xf numFmtId="167" fontId="22" fillId="12" borderId="0" xfId="3" applyNumberFormat="1" applyFont="1" applyFill="1" applyAlignment="1">
      <alignment horizontal="right" vertical="center"/>
    </xf>
    <xf numFmtId="165" fontId="22" fillId="0" borderId="0" xfId="3" applyNumberFormat="1" applyFont="1" applyAlignment="1">
      <alignment horizontal="center" vertical="center"/>
    </xf>
    <xf numFmtId="167" fontId="22" fillId="0" borderId="0" xfId="3" applyNumberFormat="1" applyFont="1" applyAlignment="1">
      <alignment horizontal="right" vertical="center"/>
    </xf>
    <xf numFmtId="10" fontId="24" fillId="0" borderId="0" xfId="4" applyNumberFormat="1" applyFont="1" applyAlignment="1">
      <alignment horizontal="right" vertical="center" indent="1"/>
    </xf>
    <xf numFmtId="165" fontId="24" fillId="0" borderId="0" xfId="3" applyNumberFormat="1" applyFont="1" applyAlignment="1">
      <alignment horizontal="left" vertical="center"/>
    </xf>
    <xf numFmtId="0" fontId="24" fillId="3" borderId="32" xfId="3" applyFont="1" applyFill="1" applyBorder="1" applyAlignment="1">
      <alignment vertical="center" wrapText="1"/>
    </xf>
    <xf numFmtId="165" fontId="24" fillId="3" borderId="39" xfId="3" applyNumberFormat="1" applyFont="1" applyFill="1" applyBorder="1" applyAlignment="1">
      <alignment vertical="center" wrapText="1"/>
    </xf>
    <xf numFmtId="165" fontId="22" fillId="0" borderId="40" xfId="3" applyNumberFormat="1" applyFont="1" applyBorder="1" applyAlignment="1">
      <alignment horizontal="center" vertical="center" wrapText="1"/>
    </xf>
    <xf numFmtId="165" fontId="22" fillId="0" borderId="10" xfId="3" applyNumberFormat="1" applyFont="1" applyBorder="1" applyAlignment="1">
      <alignment horizontal="center" vertical="center" wrapText="1"/>
    </xf>
    <xf numFmtId="167" fontId="22" fillId="0" borderId="11" xfId="3" applyNumberFormat="1" applyFont="1" applyBorder="1" applyAlignment="1">
      <alignment horizontal="right" vertical="center" wrapText="1"/>
    </xf>
    <xf numFmtId="167" fontId="22" fillId="0" borderId="43" xfId="3" applyNumberFormat="1" applyFont="1" applyBorder="1" applyAlignment="1">
      <alignment vertical="center" wrapText="1"/>
    </xf>
    <xf numFmtId="165" fontId="22" fillId="0" borderId="44" xfId="3" applyNumberFormat="1" applyFont="1" applyBorder="1" applyAlignment="1">
      <alignment horizontal="center" vertical="center" wrapText="1"/>
    </xf>
    <xf numFmtId="0" fontId="22" fillId="0" borderId="47" xfId="3" applyFont="1" applyBorder="1" applyAlignment="1">
      <alignment horizontal="center" vertical="center" wrapText="1"/>
    </xf>
    <xf numFmtId="167" fontId="22" fillId="0" borderId="48" xfId="3" applyNumberFormat="1" applyFont="1" applyBorder="1" applyAlignment="1">
      <alignment horizontal="right" vertical="center" wrapText="1"/>
    </xf>
    <xf numFmtId="167" fontId="22" fillId="0" borderId="49" xfId="3" applyNumberFormat="1" applyFont="1" applyBorder="1" applyAlignment="1">
      <alignment vertical="center" wrapText="1"/>
    </xf>
    <xf numFmtId="165" fontId="24" fillId="3" borderId="50" xfId="3" applyNumberFormat="1" applyFont="1" applyFill="1" applyBorder="1" applyAlignment="1">
      <alignment horizontal="center" vertical="center" wrapText="1"/>
    </xf>
    <xf numFmtId="0" fontId="24" fillId="3" borderId="1" xfId="3" applyFont="1" applyFill="1" applyBorder="1" applyAlignment="1">
      <alignment horizontal="center" vertical="center" wrapText="1"/>
    </xf>
    <xf numFmtId="167" fontId="24" fillId="3" borderId="52" xfId="3" applyNumberFormat="1" applyFont="1" applyFill="1" applyBorder="1" applyAlignment="1">
      <alignment horizontal="right" vertical="center" wrapText="1"/>
    </xf>
    <xf numFmtId="167" fontId="24" fillId="3" borderId="53" xfId="3" applyNumberFormat="1" applyFont="1" applyFill="1" applyBorder="1" applyAlignment="1">
      <alignment vertical="center" wrapText="1"/>
    </xf>
    <xf numFmtId="176" fontId="22" fillId="0" borderId="0" xfId="3" applyNumberFormat="1" applyFont="1" applyAlignment="1">
      <alignment horizontal="center" vertical="center" wrapText="1"/>
    </xf>
    <xf numFmtId="0" fontId="41" fillId="25" borderId="0" xfId="5" applyFont="1" applyFill="1" applyAlignment="1">
      <alignment horizontal="center"/>
    </xf>
    <xf numFmtId="0" fontId="1" fillId="25" borderId="0" xfId="5" applyFill="1"/>
    <xf numFmtId="14" fontId="1" fillId="25" borderId="0" xfId="5" applyNumberFormat="1" applyFill="1"/>
    <xf numFmtId="1" fontId="1" fillId="25" borderId="0" xfId="5" applyNumberFormat="1" applyFill="1"/>
    <xf numFmtId="169" fontId="22" fillId="0" borderId="0" xfId="3" applyNumberFormat="1" applyFont="1" applyAlignment="1">
      <alignment horizontal="left" vertical="center" wrapText="1"/>
    </xf>
    <xf numFmtId="0" fontId="2" fillId="25" borderId="0" xfId="5" applyFont="1" applyFill="1"/>
    <xf numFmtId="0" fontId="41" fillId="25" borderId="0" xfId="5" applyFont="1" applyFill="1"/>
    <xf numFmtId="43" fontId="1" fillId="25" borderId="0" xfId="1" applyFill="1"/>
    <xf numFmtId="10" fontId="1" fillId="25" borderId="0" xfId="2" applyNumberFormat="1" applyFill="1"/>
    <xf numFmtId="182" fontId="20" fillId="0" borderId="0" xfId="3" applyNumberFormat="1" applyFont="1" applyAlignment="1">
      <alignment vertical="center"/>
    </xf>
    <xf numFmtId="14" fontId="0" fillId="0" borderId="0" xfId="0" applyNumberFormat="1"/>
    <xf numFmtId="43" fontId="0" fillId="0" borderId="0" xfId="1" applyFont="1"/>
    <xf numFmtId="1" fontId="0" fillId="0" borderId="0" xfId="0" applyNumberFormat="1"/>
    <xf numFmtId="0" fontId="2" fillId="24" borderId="8" xfId="0" applyFont="1" applyFill="1" applyBorder="1" applyAlignment="1">
      <alignment horizontal="center" vertical="center"/>
    </xf>
    <xf numFmtId="0" fontId="3" fillId="25" borderId="0" xfId="6" applyFill="1"/>
    <xf numFmtId="0" fontId="44" fillId="25" borderId="0" xfId="6" applyFont="1" applyFill="1"/>
    <xf numFmtId="0" fontId="43" fillId="25" borderId="0" xfId="6" applyFont="1" applyFill="1"/>
    <xf numFmtId="0" fontId="42" fillId="25" borderId="0" xfId="6" applyFont="1" applyFill="1"/>
    <xf numFmtId="0" fontId="45" fillId="25" borderId="0" xfId="6" applyFont="1" applyFill="1"/>
    <xf numFmtId="1" fontId="42" fillId="25" borderId="0" xfId="6" applyNumberFormat="1" applyFont="1" applyFill="1"/>
    <xf numFmtId="0" fontId="46" fillId="25" borderId="0" xfId="6" applyFont="1" applyFill="1" applyAlignment="1">
      <alignment horizontal="left" vertical="center" readingOrder="1"/>
    </xf>
    <xf numFmtId="183" fontId="45" fillId="25" borderId="0" xfId="6" applyNumberFormat="1" applyFont="1" applyFill="1"/>
    <xf numFmtId="0" fontId="39" fillId="25" borderId="0" xfId="6" applyFont="1" applyFill="1"/>
    <xf numFmtId="184" fontId="39" fillId="25" borderId="0" xfId="7" applyNumberFormat="1" applyFont="1" applyFill="1"/>
    <xf numFmtId="0" fontId="47" fillId="25" borderId="0" xfId="6" applyFont="1" applyFill="1"/>
    <xf numFmtId="184" fontId="48" fillId="25" borderId="0" xfId="7" applyNumberFormat="1" applyFont="1" applyFill="1"/>
    <xf numFmtId="0" fontId="49" fillId="25" borderId="0" xfId="6" applyFont="1" applyFill="1"/>
    <xf numFmtId="185" fontId="30" fillId="6" borderId="4" xfId="3" applyNumberFormat="1" applyFont="1" applyFill="1" applyBorder="1" applyAlignment="1">
      <alignment horizontal="center" vertical="center" wrapText="1"/>
    </xf>
    <xf numFmtId="185" fontId="22" fillId="0" borderId="4" xfId="3" applyNumberFormat="1" applyFont="1" applyBorder="1" applyAlignment="1">
      <alignment horizontal="center" vertical="center" wrapText="1"/>
    </xf>
    <xf numFmtId="185" fontId="14" fillId="0" borderId="4" xfId="3" applyNumberFormat="1" applyFont="1" applyBorder="1" applyAlignment="1">
      <alignment horizontal="center" vertical="center" wrapText="1"/>
    </xf>
    <xf numFmtId="0" fontId="50" fillId="25" borderId="0" xfId="6" applyFont="1" applyFill="1"/>
    <xf numFmtId="186" fontId="14" fillId="0" borderId="4" xfId="3" applyNumberFormat="1" applyFont="1" applyBorder="1" applyAlignment="1">
      <alignment horizontal="center" vertical="center" wrapText="1"/>
    </xf>
    <xf numFmtId="169" fontId="14" fillId="0" borderId="4" xfId="3" applyNumberFormat="1" applyFont="1" applyBorder="1" applyAlignment="1">
      <alignment horizontal="center" vertical="center" wrapText="1"/>
    </xf>
    <xf numFmtId="169" fontId="4" fillId="0" borderId="4" xfId="3" applyNumberFormat="1" applyFont="1" applyBorder="1" applyAlignment="1">
      <alignment horizontal="center" vertical="center" wrapText="1"/>
    </xf>
    <xf numFmtId="4" fontId="30" fillId="6" borderId="4" xfId="3" applyNumberFormat="1" applyFont="1" applyFill="1" applyBorder="1" applyAlignment="1">
      <alignment horizontal="left" vertical="center" wrapText="1"/>
    </xf>
    <xf numFmtId="187" fontId="30" fillId="6" borderId="4" xfId="3" applyNumberFormat="1" applyFont="1" applyFill="1" applyBorder="1" applyAlignment="1">
      <alignment horizontal="center" vertical="center" wrapText="1"/>
    </xf>
    <xf numFmtId="187" fontId="4" fillId="0" borderId="4" xfId="3" applyNumberFormat="1" applyFont="1" applyBorder="1" applyAlignment="1">
      <alignment horizontal="center" vertical="center" wrapText="1"/>
    </xf>
    <xf numFmtId="169" fontId="30" fillId="6" borderId="4" xfId="3" applyNumberFormat="1" applyFont="1" applyFill="1" applyBorder="1" applyAlignment="1">
      <alignment horizontal="center" vertical="center" wrapText="1"/>
    </xf>
    <xf numFmtId="169" fontId="22" fillId="0" borderId="4" xfId="3" applyNumberFormat="1" applyFont="1" applyBorder="1" applyAlignment="1">
      <alignment horizontal="center" vertical="center" wrapText="1"/>
    </xf>
    <xf numFmtId="171" fontId="24" fillId="26" borderId="0" xfId="3" applyNumberFormat="1" applyFont="1" applyFill="1" applyAlignment="1">
      <alignment horizontal="center" vertical="center"/>
    </xf>
    <xf numFmtId="177" fontId="25" fillId="27" borderId="8" xfId="3" applyNumberFormat="1" applyFont="1" applyFill="1" applyBorder="1" applyAlignment="1">
      <alignment horizontal="center" vertical="center" wrapText="1"/>
    </xf>
    <xf numFmtId="187" fontId="30" fillId="28" borderId="4" xfId="3" applyNumberFormat="1" applyFont="1" applyFill="1" applyBorder="1" applyAlignment="1">
      <alignment horizontal="center" vertical="center" wrapText="1"/>
    </xf>
    <xf numFmtId="176" fontId="24" fillId="25" borderId="0" xfId="3" applyNumberFormat="1" applyFont="1" applyFill="1" applyAlignment="1">
      <alignment horizontal="left" vertical="center"/>
    </xf>
    <xf numFmtId="167" fontId="24" fillId="29" borderId="8" xfId="3" applyNumberFormat="1" applyFont="1" applyFill="1" applyBorder="1" applyAlignment="1">
      <alignment vertical="center"/>
    </xf>
    <xf numFmtId="0" fontId="5" fillId="0" borderId="0" xfId="3" applyFont="1" applyAlignment="1">
      <alignment horizontal="left" vertical="center"/>
    </xf>
    <xf numFmtId="0" fontId="3" fillId="0" borderId="0" xfId="3"/>
    <xf numFmtId="166" fontId="12" fillId="3" borderId="0" xfId="3" applyNumberFormat="1" applyFont="1" applyFill="1" applyAlignment="1">
      <alignment horizontal="left" vertical="center"/>
    </xf>
    <xf numFmtId="0" fontId="12" fillId="0" borderId="1" xfId="3" applyFont="1" applyBorder="1" applyAlignment="1">
      <alignment horizontal="center" vertical="center"/>
    </xf>
    <xf numFmtId="0" fontId="13" fillId="0" borderId="2" xfId="3" applyFont="1" applyBorder="1"/>
    <xf numFmtId="0" fontId="17" fillId="0" borderId="9" xfId="3" applyFont="1" applyBorder="1" applyAlignment="1">
      <alignment horizontal="justify" vertical="center" wrapText="1"/>
    </xf>
    <xf numFmtId="0" fontId="17" fillId="0" borderId="0" xfId="3" applyFont="1" applyAlignment="1">
      <alignment horizontal="justify" vertical="center" wrapText="1"/>
    </xf>
    <xf numFmtId="0" fontId="18" fillId="3" borderId="1" xfId="3" applyFont="1" applyFill="1" applyBorder="1" applyAlignment="1">
      <alignment horizontal="left" vertical="center" wrapText="1"/>
    </xf>
    <xf numFmtId="0" fontId="18" fillId="3" borderId="3" xfId="3" applyFont="1" applyFill="1" applyBorder="1" applyAlignment="1">
      <alignment horizontal="left" vertical="center" wrapText="1"/>
    </xf>
    <xf numFmtId="167" fontId="22" fillId="0" borderId="41" xfId="3" applyNumberFormat="1" applyFont="1" applyBorder="1" applyAlignment="1">
      <alignment horizontal="center" vertical="center" wrapText="1"/>
    </xf>
    <xf numFmtId="167" fontId="22" fillId="0" borderId="42" xfId="3" applyNumberFormat="1" applyFont="1" applyBorder="1" applyAlignment="1">
      <alignment horizontal="center" vertical="center" wrapText="1"/>
    </xf>
    <xf numFmtId="165" fontId="38" fillId="0" borderId="41" xfId="3" applyNumberFormat="1" applyFont="1" applyBorder="1" applyAlignment="1">
      <alignment horizontal="left" vertical="center" wrapText="1"/>
    </xf>
    <xf numFmtId="165" fontId="38" fillId="0" borderId="42" xfId="3" applyNumberFormat="1" applyFont="1" applyBorder="1" applyAlignment="1">
      <alignment horizontal="left" vertical="center" wrapText="1"/>
    </xf>
    <xf numFmtId="167" fontId="22" fillId="0" borderId="45" xfId="3" applyNumberFormat="1" applyFont="1" applyBorder="1" applyAlignment="1">
      <alignment horizontal="center" vertical="center" wrapText="1"/>
    </xf>
    <xf numFmtId="167" fontId="22" fillId="0" borderId="46" xfId="3" applyNumberFormat="1" applyFont="1" applyBorder="1" applyAlignment="1">
      <alignment horizontal="center" vertical="center" wrapText="1"/>
    </xf>
    <xf numFmtId="165" fontId="22" fillId="0" borderId="34" xfId="3" applyNumberFormat="1" applyFont="1" applyBorder="1" applyAlignment="1">
      <alignment horizontal="center" vertical="center" wrapText="1"/>
    </xf>
    <xf numFmtId="165" fontId="22" fillId="0" borderId="36" xfId="3" applyNumberFormat="1" applyFont="1" applyBorder="1" applyAlignment="1">
      <alignment horizontal="center" vertical="center" wrapText="1"/>
    </xf>
    <xf numFmtId="167" fontId="24" fillId="3" borderId="50" xfId="3" applyNumberFormat="1" applyFont="1" applyFill="1" applyBorder="1" applyAlignment="1">
      <alignment horizontal="center" vertical="center" wrapText="1"/>
    </xf>
    <xf numFmtId="167" fontId="24" fillId="3" borderId="51" xfId="3" applyNumberFormat="1" applyFont="1" applyFill="1" applyBorder="1" applyAlignment="1">
      <alignment horizontal="center" vertical="center" wrapText="1"/>
    </xf>
    <xf numFmtId="165" fontId="24" fillId="3" borderId="34" xfId="3" applyNumberFormat="1" applyFont="1" applyFill="1" applyBorder="1" applyAlignment="1">
      <alignment horizontal="center" vertical="center" wrapText="1"/>
    </xf>
    <xf numFmtId="165" fontId="24" fillId="3" borderId="36" xfId="3" applyNumberFormat="1" applyFont="1" applyFill="1" applyBorder="1" applyAlignment="1">
      <alignment horizontal="center" vertical="center" wrapText="1"/>
    </xf>
    <xf numFmtId="165" fontId="24" fillId="3" borderId="34" xfId="3" applyNumberFormat="1" applyFont="1" applyFill="1" applyBorder="1" applyAlignment="1">
      <alignment horizontal="left" vertical="center" wrapText="1"/>
    </xf>
    <xf numFmtId="165" fontId="24" fillId="3" borderId="35" xfId="3" applyNumberFormat="1" applyFont="1" applyFill="1" applyBorder="1" applyAlignment="1">
      <alignment horizontal="left" vertical="center" wrapText="1"/>
    </xf>
    <xf numFmtId="165" fontId="24" fillId="3" borderId="36" xfId="3" applyNumberFormat="1" applyFont="1" applyFill="1" applyBorder="1" applyAlignment="1">
      <alignment horizontal="left" vertical="center" wrapText="1"/>
    </xf>
    <xf numFmtId="165" fontId="24" fillId="3" borderId="26" xfId="3" applyNumberFormat="1" applyFont="1" applyFill="1" applyBorder="1" applyAlignment="1">
      <alignment horizontal="left" vertical="center" wrapText="1"/>
    </xf>
    <xf numFmtId="165" fontId="24" fillId="3" borderId="37" xfId="3" applyNumberFormat="1" applyFont="1" applyFill="1" applyBorder="1" applyAlignment="1">
      <alignment horizontal="left" vertical="center" wrapText="1"/>
    </xf>
    <xf numFmtId="165" fontId="24" fillId="3" borderId="38" xfId="3" applyNumberFormat="1" applyFont="1" applyFill="1" applyBorder="1" applyAlignment="1">
      <alignment horizontal="left" vertical="center" wrapText="1"/>
    </xf>
    <xf numFmtId="165" fontId="24" fillId="3" borderId="0" xfId="3" applyNumberFormat="1" applyFont="1" applyFill="1" applyAlignment="1">
      <alignment horizontal="left" vertical="center" wrapText="1"/>
    </xf>
    <xf numFmtId="0" fontId="24" fillId="20" borderId="0" xfId="3" applyFont="1" applyFill="1" applyAlignment="1">
      <alignment horizontal="right" vertical="center" wrapText="1" indent="1"/>
    </xf>
    <xf numFmtId="0" fontId="24" fillId="20" borderId="5" xfId="3" applyFont="1" applyFill="1" applyBorder="1" applyAlignment="1">
      <alignment horizontal="right" vertical="center" wrapText="1" indent="1"/>
    </xf>
    <xf numFmtId="0" fontId="24" fillId="12" borderId="0" xfId="3" applyFont="1" applyFill="1" applyAlignment="1">
      <alignment horizontal="right" vertical="center" wrapText="1" indent="1"/>
    </xf>
    <xf numFmtId="0" fontId="24" fillId="12" borderId="5" xfId="3" applyFont="1" applyFill="1" applyBorder="1" applyAlignment="1">
      <alignment horizontal="right" vertical="center" wrapText="1" indent="1"/>
    </xf>
    <xf numFmtId="0" fontId="24" fillId="3" borderId="30" xfId="3" applyFont="1" applyFill="1" applyBorder="1" applyAlignment="1">
      <alignment horizontal="center" vertical="center" wrapText="1"/>
    </xf>
    <xf numFmtId="0" fontId="24" fillId="3" borderId="31" xfId="3" applyFont="1" applyFill="1" applyBorder="1" applyAlignment="1">
      <alignment horizontal="center" vertical="center" wrapText="1"/>
    </xf>
    <xf numFmtId="0" fontId="24" fillId="3" borderId="32" xfId="3" applyFont="1" applyFill="1" applyBorder="1" applyAlignment="1">
      <alignment horizontal="center" vertical="center" wrapText="1"/>
    </xf>
    <xf numFmtId="0" fontId="24" fillId="3" borderId="33" xfId="3" applyFont="1" applyFill="1" applyBorder="1" applyAlignment="1">
      <alignment horizontal="center" vertical="center" wrapText="1"/>
    </xf>
    <xf numFmtId="0" fontId="24" fillId="3" borderId="12" xfId="3" applyFont="1" applyFill="1" applyBorder="1" applyAlignment="1">
      <alignment horizontal="center" vertical="center" wrapText="1"/>
    </xf>
    <xf numFmtId="0" fontId="21" fillId="0" borderId="0" xfId="3" applyFont="1" applyAlignment="1">
      <alignment horizontal="left" vertical="center"/>
    </xf>
    <xf numFmtId="0" fontId="26" fillId="7" borderId="18" xfId="3" applyFont="1" applyFill="1" applyBorder="1" applyAlignment="1">
      <alignment horizontal="left" vertical="center"/>
    </xf>
    <xf numFmtId="0" fontId="26" fillId="7" borderId="19" xfId="3" applyFont="1" applyFill="1" applyBorder="1" applyAlignment="1">
      <alignment horizontal="left" vertical="center"/>
    </xf>
    <xf numFmtId="0" fontId="26" fillId="7" borderId="20" xfId="3" applyFont="1" applyFill="1" applyBorder="1" applyAlignment="1">
      <alignment horizontal="left" vertical="center"/>
    </xf>
    <xf numFmtId="1" fontId="26" fillId="7" borderId="18" xfId="3" applyNumberFormat="1" applyFont="1" applyFill="1" applyBorder="1" applyAlignment="1">
      <alignment horizontal="left" vertical="center"/>
    </xf>
    <xf numFmtId="1" fontId="26" fillId="7" borderId="19" xfId="3" applyNumberFormat="1" applyFont="1" applyFill="1" applyBorder="1" applyAlignment="1">
      <alignment horizontal="left" vertical="center"/>
    </xf>
    <xf numFmtId="1" fontId="26" fillId="7" borderId="20" xfId="3" applyNumberFormat="1" applyFont="1" applyFill="1" applyBorder="1" applyAlignment="1">
      <alignment horizontal="left" vertical="center"/>
    </xf>
    <xf numFmtId="166" fontId="24" fillId="9" borderId="22" xfId="3" applyNumberFormat="1" applyFont="1" applyFill="1" applyBorder="1" applyAlignment="1">
      <alignment horizontal="left" vertical="center"/>
    </xf>
    <xf numFmtId="181" fontId="24" fillId="18" borderId="0" xfId="3" applyNumberFormat="1" applyFont="1" applyFill="1" applyAlignment="1">
      <alignment horizontal="center" vertical="center" wrapText="1"/>
    </xf>
    <xf numFmtId="181" fontId="24" fillId="19" borderId="0" xfId="3" applyNumberFormat="1" applyFont="1" applyFill="1" applyAlignment="1">
      <alignment horizontal="center" vertical="center" wrapText="1"/>
    </xf>
    <xf numFmtId="0" fontId="41" fillId="25" borderId="0" xfId="5" applyFont="1" applyFill="1" applyAlignment="1">
      <alignment horizontal="center"/>
    </xf>
  </cellXfs>
  <cellStyles count="8">
    <cellStyle name="Millares" xfId="1" builtinId="3"/>
    <cellStyle name="Millares 2" xfId="7" xr:uid="{7617B101-780D-4A06-A674-C61B6B291471}"/>
    <cellStyle name="Normal" xfId="0" builtinId="0"/>
    <cellStyle name="Normal 2" xfId="3" xr:uid="{C99194D4-563C-45D8-A0DE-2B0AC41E5FD7}"/>
    <cellStyle name="Normal 2 2" xfId="5" xr:uid="{9E50491C-5AC5-47AD-8A8A-2840B0C4D33D}"/>
    <cellStyle name="Normal 3" xfId="6" xr:uid="{53B8DB93-E679-4D6E-B746-D6B9099BCF37}"/>
    <cellStyle name="Porcentaje" xfId="2" builtinId="5"/>
    <cellStyle name="Porcentaje 2" xfId="4" xr:uid="{8BA6A63F-11F3-4EC6-861F-2431A0F1085C}"/>
  </cellStyles>
  <dxfs count="8"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1019175</xdr:colOff>
      <xdr:row>117</xdr:row>
      <xdr:rowOff>133350</xdr:rowOff>
    </xdr:from>
    <xdr:ext cx="2219325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EE3F544E-B0C8-413A-8520-6D559A9AFF0D}"/>
            </a:ext>
          </a:extLst>
        </xdr:cNvPr>
        <xdr:cNvGrpSpPr/>
      </xdr:nvGrpSpPr>
      <xdr:grpSpPr>
        <a:xfrm>
          <a:off x="1266825" y="10629900"/>
          <a:ext cx="2219325" cy="38100"/>
          <a:chOff x="4236338" y="3780000"/>
          <a:chExt cx="2219325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867B2EE5-A121-92EE-4D0D-22E96E8DDBE5}"/>
              </a:ext>
            </a:extLst>
          </xdr:cNvPr>
          <xdr:cNvCxnSpPr/>
        </xdr:nvCxnSpPr>
        <xdr:spPr>
          <a:xfrm>
            <a:off x="4236338" y="3780000"/>
            <a:ext cx="22193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</xdr:col>
      <xdr:colOff>914400</xdr:colOff>
      <xdr:row>108</xdr:row>
      <xdr:rowOff>95250</xdr:rowOff>
    </xdr:from>
    <xdr:ext cx="2428875" cy="133350"/>
    <xdr:grpSp>
      <xdr:nvGrpSpPr>
        <xdr:cNvPr id="4" name="Shape 2">
          <a:extLst>
            <a:ext uri="{FF2B5EF4-FFF2-40B4-BE49-F238E27FC236}">
              <a16:creationId xmlns:a16="http://schemas.microsoft.com/office/drawing/2014/main" id="{30016A0F-E9EB-40B7-9491-A5456033D664}"/>
            </a:ext>
          </a:extLst>
        </xdr:cNvPr>
        <xdr:cNvGrpSpPr/>
      </xdr:nvGrpSpPr>
      <xdr:grpSpPr>
        <a:xfrm>
          <a:off x="1162050" y="9134475"/>
          <a:ext cx="2428875" cy="133350"/>
          <a:chOff x="4236338" y="3780000"/>
          <a:chExt cx="2219325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B049D902-E490-4566-B57E-CD00D5D1F6D6}"/>
              </a:ext>
            </a:extLst>
          </xdr:cNvPr>
          <xdr:cNvCxnSpPr/>
        </xdr:nvCxnSpPr>
        <xdr:spPr>
          <a:xfrm>
            <a:off x="4236338" y="3780000"/>
            <a:ext cx="22193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990600</xdr:colOff>
      <xdr:row>108</xdr:row>
      <xdr:rowOff>133350</xdr:rowOff>
    </xdr:from>
    <xdr:ext cx="2333625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592006D-CB83-49CB-9D08-3F21304EC43A}"/>
            </a:ext>
          </a:extLst>
        </xdr:cNvPr>
        <xdr:cNvGrpSpPr/>
      </xdr:nvGrpSpPr>
      <xdr:grpSpPr>
        <a:xfrm>
          <a:off x="2743200" y="9172575"/>
          <a:ext cx="2333625" cy="38100"/>
          <a:chOff x="4179188" y="3780000"/>
          <a:chExt cx="2333625" cy="0"/>
        </a:xfrm>
      </xdr:grpSpPr>
      <xdr:cxnSp macro="">
        <xdr:nvCxnSpPr>
          <xdr:cNvPr id="7" name="Shape 5">
            <a:extLst>
              <a:ext uri="{FF2B5EF4-FFF2-40B4-BE49-F238E27FC236}">
                <a16:creationId xmlns:a16="http://schemas.microsoft.com/office/drawing/2014/main" id="{A93130D2-8F2B-285C-B8C8-75932FA49950}"/>
              </a:ext>
            </a:extLst>
          </xdr:cNvPr>
          <xdr:cNvCxnSpPr/>
        </xdr:nvCxnSpPr>
        <xdr:spPr>
          <a:xfrm>
            <a:off x="4179188" y="3780000"/>
            <a:ext cx="23336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838200</xdr:colOff>
      <xdr:row>117</xdr:row>
      <xdr:rowOff>133350</xdr:rowOff>
    </xdr:from>
    <xdr:ext cx="2714625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78E8ABD6-4C0C-4E61-A4FC-E791521A4219}"/>
            </a:ext>
          </a:extLst>
        </xdr:cNvPr>
        <xdr:cNvGrpSpPr/>
      </xdr:nvGrpSpPr>
      <xdr:grpSpPr>
        <a:xfrm>
          <a:off x="2743200" y="10629900"/>
          <a:ext cx="2714625" cy="38100"/>
          <a:chOff x="3988688" y="3780000"/>
          <a:chExt cx="2714625" cy="0"/>
        </a:xfrm>
      </xdr:grpSpPr>
      <xdr:cxnSp macro="">
        <xdr:nvCxnSpPr>
          <xdr:cNvPr id="9" name="Shape 6">
            <a:extLst>
              <a:ext uri="{FF2B5EF4-FFF2-40B4-BE49-F238E27FC236}">
                <a16:creationId xmlns:a16="http://schemas.microsoft.com/office/drawing/2014/main" id="{324AB12E-B71A-D360-CD6B-1E5DBA8F0D4E}"/>
              </a:ext>
            </a:extLst>
          </xdr:cNvPr>
          <xdr:cNvCxnSpPr/>
        </xdr:nvCxnSpPr>
        <xdr:spPr>
          <a:xfrm>
            <a:off x="3988688" y="3780000"/>
            <a:ext cx="27146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twoCellAnchor editAs="oneCell">
    <xdr:from>
      <xdr:col>7</xdr:col>
      <xdr:colOff>596900</xdr:colOff>
      <xdr:row>0</xdr:row>
      <xdr:rowOff>88900</xdr:rowOff>
    </xdr:from>
    <xdr:to>
      <xdr:col>9</xdr:col>
      <xdr:colOff>2540</xdr:colOff>
      <xdr:row>3</xdr:row>
      <xdr:rowOff>2540</xdr:rowOff>
    </xdr:to>
    <xdr:pic>
      <xdr:nvPicPr>
        <xdr:cNvPr id="10" name="Imagen 9" descr="Imagen que contiene imágenes prediseñadas&#10;&#10;Descripción generada automáticamente">
          <a:extLst>
            <a:ext uri="{FF2B5EF4-FFF2-40B4-BE49-F238E27FC236}">
              <a16:creationId xmlns:a16="http://schemas.microsoft.com/office/drawing/2014/main" id="{A7D0A6A5-9605-4313-A2A5-439C22FE5B4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0725" y="88900"/>
          <a:ext cx="1901190" cy="6756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207818</xdr:colOff>
      <xdr:row>0</xdr:row>
      <xdr:rowOff>23091</xdr:rowOff>
    </xdr:from>
    <xdr:ext cx="1228725" cy="1504949"/>
    <xdr:pic>
      <xdr:nvPicPr>
        <xdr:cNvPr id="2" name="image2.png">
          <a:extLst>
            <a:ext uri="{FF2B5EF4-FFF2-40B4-BE49-F238E27FC236}">
              <a16:creationId xmlns:a16="http://schemas.microsoft.com/office/drawing/2014/main" id="{7636F05F-4082-4CA5-92BE-9E25ECDA37C4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000143" y="23091"/>
          <a:ext cx="1228725" cy="1504949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104774</xdr:colOff>
      <xdr:row>4</xdr:row>
      <xdr:rowOff>57150</xdr:rowOff>
    </xdr:from>
    <xdr:to>
      <xdr:col>6</xdr:col>
      <xdr:colOff>838199</xdr:colOff>
      <xdr:row>6</xdr:row>
      <xdr:rowOff>47625</xdr:rowOff>
    </xdr:to>
    <xdr:sp macro="[0]!Gener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2D7E2F6-3A1B-A147-FB9E-53CCF1F174D9}"/>
            </a:ext>
          </a:extLst>
        </xdr:cNvPr>
        <xdr:cNvSpPr/>
      </xdr:nvSpPr>
      <xdr:spPr>
        <a:xfrm>
          <a:off x="7010399" y="923925"/>
          <a:ext cx="73342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PDF</a:t>
          </a:r>
        </a:p>
      </xdr:txBody>
    </xdr:sp>
    <xdr:clientData/>
  </xdr:twoCellAnchor>
  <xdr:twoCellAnchor>
    <xdr:from>
      <xdr:col>6</xdr:col>
      <xdr:colOff>904875</xdr:colOff>
      <xdr:row>4</xdr:row>
      <xdr:rowOff>57150</xdr:rowOff>
    </xdr:from>
    <xdr:to>
      <xdr:col>6</xdr:col>
      <xdr:colOff>1638300</xdr:colOff>
      <xdr:row>6</xdr:row>
      <xdr:rowOff>47625</xdr:rowOff>
    </xdr:to>
    <xdr:sp macro="[0]!Let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BF185E-2517-49B0-9913-BB2BA8A89E97}"/>
            </a:ext>
          </a:extLst>
        </xdr:cNvPr>
        <xdr:cNvSpPr/>
      </xdr:nvSpPr>
      <xdr:spPr>
        <a:xfrm>
          <a:off x="7810500" y="923925"/>
          <a:ext cx="73342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Letra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79286</xdr:colOff>
      <xdr:row>0</xdr:row>
      <xdr:rowOff>74458</xdr:rowOff>
    </xdr:from>
    <xdr:to>
      <xdr:col>9</xdr:col>
      <xdr:colOff>872126</xdr:colOff>
      <xdr:row>26</xdr:row>
      <xdr:rowOff>148603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27E516F5-EF8D-4A65-A7EC-4C70640959F0}"/>
            </a:ext>
          </a:extLst>
        </xdr:cNvPr>
        <xdr:cNvGrpSpPr/>
      </xdr:nvGrpSpPr>
      <xdr:grpSpPr>
        <a:xfrm>
          <a:off x="79286" y="74458"/>
          <a:ext cx="7650840" cy="4343973"/>
          <a:chOff x="438150" y="571500"/>
          <a:chExt cx="7634288" cy="4248150"/>
        </a:xfrm>
      </xdr:grpSpPr>
      <xdr:sp macro="" textlink="">
        <xdr:nvSpPr>
          <xdr:cNvPr id="3" name="3 Rectángulo">
            <a:extLst>
              <a:ext uri="{FF2B5EF4-FFF2-40B4-BE49-F238E27FC236}">
                <a16:creationId xmlns:a16="http://schemas.microsoft.com/office/drawing/2014/main" id="{17128C62-3D96-6592-8374-2F0C80D481E0}"/>
              </a:ext>
            </a:extLst>
          </xdr:cNvPr>
          <xdr:cNvSpPr/>
        </xdr:nvSpPr>
        <xdr:spPr>
          <a:xfrm>
            <a:off x="500063" y="571500"/>
            <a:ext cx="7559675" cy="424815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">
        <xdr:nvSpPr>
          <xdr:cNvPr id="4" name="4 Rectángulo">
            <a:extLst>
              <a:ext uri="{FF2B5EF4-FFF2-40B4-BE49-F238E27FC236}">
                <a16:creationId xmlns:a16="http://schemas.microsoft.com/office/drawing/2014/main" id="{ACF5D045-2C1C-4654-2662-8AEFD636F55C}"/>
              </a:ext>
            </a:extLst>
          </xdr:cNvPr>
          <xdr:cNvSpPr/>
        </xdr:nvSpPr>
        <xdr:spPr>
          <a:xfrm>
            <a:off x="2324100" y="642938"/>
            <a:ext cx="5688013" cy="503237"/>
          </a:xfrm>
          <a:prstGeom prst="rect">
            <a:avLst/>
          </a:prstGeom>
          <a:noFill/>
          <a:ln w="12700" cap="rnd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Datos!D9">
        <xdr:nvSpPr>
          <xdr:cNvPr id="5" name="7 Rectángulo redondeado">
            <a:extLst>
              <a:ext uri="{FF2B5EF4-FFF2-40B4-BE49-F238E27FC236}">
                <a16:creationId xmlns:a16="http://schemas.microsoft.com/office/drawing/2014/main" id="{1407E478-98AC-61AC-A0DF-15EE4C836DBF}"/>
              </a:ext>
            </a:extLst>
          </xdr:cNvPr>
          <xdr:cNvSpPr/>
        </xdr:nvSpPr>
        <xdr:spPr>
          <a:xfrm>
            <a:off x="2324100" y="2043113"/>
            <a:ext cx="5688013" cy="220662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fontAlgn="auto">
              <a:spcBef>
                <a:spcPts val="0"/>
              </a:spcBef>
              <a:spcAft>
                <a:spcPts val="0"/>
              </a:spcAft>
              <a:defRPr/>
            </a:pPr>
            <a:fld id="{1C57F9C7-ADF0-4369-AEC0-0C6320A329F9}" type="TxLink">
              <a:rPr lang="en-US" sz="1100" b="0" i="0" u="none" strike="noStrike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gency FB"/>
                <a:cs typeface="Calibri"/>
              </a:rPr>
              <a:pPr fontAlgn="auto">
                <a:spcBef>
                  <a:spcPts val="0"/>
                </a:spcBef>
                <a:spcAft>
                  <a:spcPts val="0"/>
                </a:spcAft>
                <a:defRPr/>
              </a:pPr>
              <a:t>#¿NOMBRE?</a:t>
            </a:fld>
            <a:endParaRPr lang="es-ES" sz="1100" b="1">
              <a:ln w="3175">
                <a:solidFill>
                  <a:sysClr val="windowText" lastClr="000000"/>
                </a:solidFill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6" name="16 CuadroTexto">
            <a:extLst>
              <a:ext uri="{FF2B5EF4-FFF2-40B4-BE49-F238E27FC236}">
                <a16:creationId xmlns:a16="http://schemas.microsoft.com/office/drawing/2014/main" id="{1C367405-D3E3-D198-4A20-EA9DF7A6532B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98713" y="1208835"/>
            <a:ext cx="49212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NUMERO</a:t>
            </a:r>
          </a:p>
        </xdr:txBody>
      </xdr:sp>
      <xdr:sp macro="" textlink="">
        <xdr:nvSpPr>
          <xdr:cNvPr id="7" name="17 CuadroTexto">
            <a:extLst>
              <a:ext uri="{FF2B5EF4-FFF2-40B4-BE49-F238E27FC236}">
                <a16:creationId xmlns:a16="http://schemas.microsoft.com/office/drawing/2014/main" id="{7E43E7C5-758B-3EAB-6442-35D13FABC429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70024" y="1210423"/>
            <a:ext cx="8540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REF. DEL GIRADOR</a:t>
            </a:r>
          </a:p>
        </xdr:txBody>
      </xdr:sp>
      <xdr:sp macro="" textlink="">
        <xdr:nvSpPr>
          <xdr:cNvPr id="8" name="18 CuadroTexto">
            <a:extLst>
              <a:ext uri="{FF2B5EF4-FFF2-40B4-BE49-F238E27FC236}">
                <a16:creationId xmlns:a16="http://schemas.microsoft.com/office/drawing/2014/main" id="{9F2A031B-3E4F-BD93-2CAD-993B508F1046}"/>
              </a:ext>
            </a:extLst>
          </xdr:cNvPr>
          <xdr:cNvSpPr txBox="1">
            <a:spLocks noChangeArrowheads="1"/>
          </xdr:cNvSpPr>
        </xdr:nvSpPr>
        <xdr:spPr bwMode="auto">
          <a:xfrm>
            <a:off x="4106405" y="1208835"/>
            <a:ext cx="738188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FECHA DE GIRO</a:t>
            </a:r>
          </a:p>
        </xdr:txBody>
      </xdr:sp>
      <xdr:sp macro="" textlink="">
        <xdr:nvSpPr>
          <xdr:cNvPr id="9" name="19 CuadroTexto">
            <a:extLst>
              <a:ext uri="{FF2B5EF4-FFF2-40B4-BE49-F238E27FC236}">
                <a16:creationId xmlns:a16="http://schemas.microsoft.com/office/drawing/2014/main" id="{21F2A7F0-5686-261D-102C-02B3D8C5F95E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31977" y="1208835"/>
            <a:ext cx="74612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LUGAR DE GIRO</a:t>
            </a:r>
          </a:p>
        </xdr:txBody>
      </xdr:sp>
      <xdr:sp macro="" textlink="">
        <xdr:nvSpPr>
          <xdr:cNvPr id="10" name="20 CuadroTexto">
            <a:extLst>
              <a:ext uri="{FF2B5EF4-FFF2-40B4-BE49-F238E27FC236}">
                <a16:creationId xmlns:a16="http://schemas.microsoft.com/office/drawing/2014/main" id="{C1312C4B-C216-E4ED-B1AB-D90ADAB3DAD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27443" y="1210423"/>
            <a:ext cx="1055687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FECHA DE VENCIMIENTO</a:t>
            </a:r>
          </a:p>
        </xdr:txBody>
      </xdr:sp>
      <xdr:sp macro="" textlink="">
        <xdr:nvSpPr>
          <xdr:cNvPr id="11" name="21 CuadroTexto">
            <a:extLst>
              <a:ext uri="{FF2B5EF4-FFF2-40B4-BE49-F238E27FC236}">
                <a16:creationId xmlns:a16="http://schemas.microsoft.com/office/drawing/2014/main" id="{A0A3E64E-9B00-8ABD-E549-8E68B61E5619}"/>
              </a:ext>
            </a:extLst>
          </xdr:cNvPr>
          <xdr:cNvSpPr txBox="1">
            <a:spLocks noChangeArrowheads="1"/>
          </xdr:cNvSpPr>
        </xdr:nvSpPr>
        <xdr:spPr bwMode="auto">
          <a:xfrm>
            <a:off x="7001756" y="1215970"/>
            <a:ext cx="9048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MONEDA E IMPORTE</a:t>
            </a:r>
          </a:p>
        </xdr:txBody>
      </xdr:sp>
      <xdr:sp macro="" textlink="">
        <xdr:nvSpPr>
          <xdr:cNvPr id="12" name="6 Rectángulo redondeado">
            <a:extLst>
              <a:ext uri="{FF2B5EF4-FFF2-40B4-BE49-F238E27FC236}">
                <a16:creationId xmlns:a16="http://schemas.microsoft.com/office/drawing/2014/main" id="{B1C1AEB2-4062-9540-84BA-ED83ECA69695}"/>
              </a:ext>
            </a:extLst>
          </xdr:cNvPr>
          <xdr:cNvSpPr/>
        </xdr:nvSpPr>
        <xdr:spPr>
          <a:xfrm>
            <a:off x="2324100" y="1219572"/>
            <a:ext cx="5688013" cy="647700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>
              <a:ln w="3175">
                <a:solidFill>
                  <a:sysClr val="windowText" lastClr="000000"/>
                </a:solidFill>
              </a:ln>
            </a:endParaRPr>
          </a:p>
        </xdr:txBody>
      </xdr:sp>
      <xdr:cxnSp macro="">
        <xdr:nvCxnSpPr>
          <xdr:cNvPr id="13" name="9 Conector recto">
            <a:extLst>
              <a:ext uri="{FF2B5EF4-FFF2-40B4-BE49-F238E27FC236}">
                <a16:creationId xmlns:a16="http://schemas.microsoft.com/office/drawing/2014/main" id="{A33BE13D-613C-51B1-757A-F0938E4B8BD4}"/>
              </a:ext>
            </a:extLst>
          </xdr:cNvPr>
          <xdr:cNvCxnSpPr/>
        </xdr:nvCxnSpPr>
        <xdr:spPr>
          <a:xfrm>
            <a:off x="2324100" y="1357313"/>
            <a:ext cx="5688013" cy="158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11 Conector recto">
            <a:extLst>
              <a:ext uri="{FF2B5EF4-FFF2-40B4-BE49-F238E27FC236}">
                <a16:creationId xmlns:a16="http://schemas.microsoft.com/office/drawing/2014/main" id="{FFC203ED-153A-6925-BC00-4DA9D9A5C63F}"/>
              </a:ext>
            </a:extLst>
          </xdr:cNvPr>
          <xdr:cNvCxnSpPr/>
        </xdr:nvCxnSpPr>
        <xdr:spPr>
          <a:xfrm flipH="1">
            <a:off x="2960689" y="1214438"/>
            <a:ext cx="1587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12 Conector recto">
            <a:extLst>
              <a:ext uri="{FF2B5EF4-FFF2-40B4-BE49-F238E27FC236}">
                <a16:creationId xmlns:a16="http://schemas.microsoft.com/office/drawing/2014/main" id="{A84B66B0-8587-C0AF-A906-99B3396F38DA}"/>
              </a:ext>
            </a:extLst>
          </xdr:cNvPr>
          <xdr:cNvCxnSpPr/>
        </xdr:nvCxnSpPr>
        <xdr:spPr>
          <a:xfrm flipH="1">
            <a:off x="3997325" y="1214438"/>
            <a:ext cx="1588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13 Conector recto">
            <a:extLst>
              <a:ext uri="{FF2B5EF4-FFF2-40B4-BE49-F238E27FC236}">
                <a16:creationId xmlns:a16="http://schemas.microsoft.com/office/drawing/2014/main" id="{EC899F4A-7622-A86E-3A5E-32BDF25CBEAF}"/>
              </a:ext>
            </a:extLst>
          </xdr:cNvPr>
          <xdr:cNvCxnSpPr/>
        </xdr:nvCxnSpPr>
        <xdr:spPr>
          <a:xfrm flipH="1">
            <a:off x="4906964" y="1214438"/>
            <a:ext cx="1587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14 Conector recto">
            <a:extLst>
              <a:ext uri="{FF2B5EF4-FFF2-40B4-BE49-F238E27FC236}">
                <a16:creationId xmlns:a16="http://schemas.microsoft.com/office/drawing/2014/main" id="{6E2560D4-CEBF-2CA3-0BDC-C04A6C167103}"/>
              </a:ext>
            </a:extLst>
          </xdr:cNvPr>
          <xdr:cNvCxnSpPr/>
        </xdr:nvCxnSpPr>
        <xdr:spPr>
          <a:xfrm flipH="1">
            <a:off x="5727700" y="1214438"/>
            <a:ext cx="1588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15 Conector recto">
            <a:extLst>
              <a:ext uri="{FF2B5EF4-FFF2-40B4-BE49-F238E27FC236}">
                <a16:creationId xmlns:a16="http://schemas.microsoft.com/office/drawing/2014/main" id="{B5C20D05-D5C5-1B40-7DD6-03EC8B2F9521}"/>
              </a:ext>
            </a:extLst>
          </xdr:cNvPr>
          <xdr:cNvCxnSpPr/>
        </xdr:nvCxnSpPr>
        <xdr:spPr>
          <a:xfrm flipH="1">
            <a:off x="6926264" y="1214438"/>
            <a:ext cx="1587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23 Conector recto">
            <a:extLst>
              <a:ext uri="{FF2B5EF4-FFF2-40B4-BE49-F238E27FC236}">
                <a16:creationId xmlns:a16="http://schemas.microsoft.com/office/drawing/2014/main" id="{E499F312-259E-51E9-0C1A-36E83FB81DF5}"/>
              </a:ext>
            </a:extLst>
          </xdr:cNvPr>
          <xdr:cNvCxnSpPr/>
        </xdr:nvCxnSpPr>
        <xdr:spPr>
          <a:xfrm>
            <a:off x="4002088" y="1533525"/>
            <a:ext cx="900112" cy="1588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24 Conector recto">
            <a:extLst>
              <a:ext uri="{FF2B5EF4-FFF2-40B4-BE49-F238E27FC236}">
                <a16:creationId xmlns:a16="http://schemas.microsoft.com/office/drawing/2014/main" id="{27E29AB2-E72C-A1A2-BC37-F0AC18134FA4}"/>
              </a:ext>
            </a:extLst>
          </xdr:cNvPr>
          <xdr:cNvCxnSpPr/>
        </xdr:nvCxnSpPr>
        <xdr:spPr>
          <a:xfrm>
            <a:off x="5737225" y="1530350"/>
            <a:ext cx="1187450" cy="1588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25 CuadroTexto">
            <a:extLst>
              <a:ext uri="{FF2B5EF4-FFF2-40B4-BE49-F238E27FC236}">
                <a16:creationId xmlns:a16="http://schemas.microsoft.com/office/drawing/2014/main" id="{945A291E-E428-9736-83C8-68343F1F8754}"/>
              </a:ext>
            </a:extLst>
          </xdr:cNvPr>
          <xdr:cNvSpPr txBox="1">
            <a:spLocks noChangeArrowheads="1"/>
          </xdr:cNvSpPr>
        </xdr:nvSpPr>
        <xdr:spPr bwMode="auto">
          <a:xfrm>
            <a:off x="4093961" y="1375505"/>
            <a:ext cx="7651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DIA / MES / AÑO</a:t>
            </a:r>
          </a:p>
        </xdr:txBody>
      </xdr:sp>
      <xdr:sp macro="" textlink="">
        <xdr:nvSpPr>
          <xdr:cNvPr id="22" name="26 CuadroTexto">
            <a:extLst>
              <a:ext uri="{FF2B5EF4-FFF2-40B4-BE49-F238E27FC236}">
                <a16:creationId xmlns:a16="http://schemas.microsoft.com/office/drawing/2014/main" id="{BA5FB3B5-98F4-7BA0-C6A8-7FFFD269CA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5960353" y="1369957"/>
            <a:ext cx="7651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DIA / MES / AÑO</a:t>
            </a:r>
          </a:p>
        </xdr:txBody>
      </xdr:sp>
      <xdr:sp macro="" textlink="">
        <xdr:nvSpPr>
          <xdr:cNvPr id="23" name="28 CuadroTexto">
            <a:extLst>
              <a:ext uri="{FF2B5EF4-FFF2-40B4-BE49-F238E27FC236}">
                <a16:creationId xmlns:a16="http://schemas.microsoft.com/office/drawing/2014/main" id="{7FFD2874-19FB-C562-D9F3-472E1B11281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33612" y="1855788"/>
            <a:ext cx="4142718" cy="1809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Por esta LETRA DE CAMBIO, se servirá(n) pagar incondicionalmente a la Orden del </a:t>
            </a:r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GIRADOR </a:t>
            </a:r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la cantidad de:</a:t>
            </a:r>
          </a:p>
        </xdr:txBody>
      </xdr:sp>
      <xdr:sp macro="" textlink="">
        <xdr:nvSpPr>
          <xdr:cNvPr id="24" name="29 CuadroTexto">
            <a:extLst>
              <a:ext uri="{FF2B5EF4-FFF2-40B4-BE49-F238E27FC236}">
                <a16:creationId xmlns:a16="http://schemas.microsoft.com/office/drawing/2014/main" id="{5A7BBAD7-A2BC-CBB9-711A-0735F74C14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52663" y="2244725"/>
            <a:ext cx="2767012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En el siguiente lugar de pago, o con cargo en la cuenta corriente del Banco:</a:t>
            </a:r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39 CuadroTexto">
            <a:extLst>
              <a:ext uri="{FF2B5EF4-FFF2-40B4-BE49-F238E27FC236}">
                <a16:creationId xmlns:a16="http://schemas.microsoft.com/office/drawing/2014/main" id="{3E4D7760-4C99-60B9-8106-C89BF7FC886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24100" y="2420888"/>
            <a:ext cx="3106737" cy="146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ACEPTANTE :</a:t>
            </a:r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40 CuadroTexto">
            <a:extLst>
              <a:ext uri="{FF2B5EF4-FFF2-40B4-BE49-F238E27FC236}">
                <a16:creationId xmlns:a16="http://schemas.microsoft.com/office/drawing/2014/main" id="{681AAB41-D122-F040-04BF-532773370F62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10940" y="2656051"/>
            <a:ext cx="304482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DOMICILIO :</a:t>
            </a:r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41 CuadroTexto">
            <a:extLst>
              <a:ext uri="{FF2B5EF4-FFF2-40B4-BE49-F238E27FC236}">
                <a16:creationId xmlns:a16="http://schemas.microsoft.com/office/drawing/2014/main" id="{8E5D0F37-D8C0-6859-B641-25A3DD907A8B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31987" y="2999459"/>
            <a:ext cx="717790" cy="19010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TELEFONO</a:t>
            </a:r>
            <a:r>
              <a:rPr lang="es-ES" sz="700">
                <a:latin typeface="Tahoma" panose="020B0604030504040204" pitchFamily="34" charset="0"/>
                <a:cs typeface="Tahoma" panose="020B0604030504040204" pitchFamily="34" charset="0"/>
              </a:rPr>
              <a:t> :</a:t>
            </a:r>
            <a:endParaRPr lang="es-ES" sz="7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42 CuadroTexto">
            <a:extLst>
              <a:ext uri="{FF2B5EF4-FFF2-40B4-BE49-F238E27FC236}">
                <a16:creationId xmlns:a16="http://schemas.microsoft.com/office/drawing/2014/main" id="{6F9BCD2C-A385-E56C-C220-35C4DDC87F7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43839" y="3005935"/>
            <a:ext cx="424231" cy="19010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l"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RUC</a:t>
            </a:r>
            <a:r>
              <a:rPr lang="es-ES" sz="700">
                <a:latin typeface="Tahoma" panose="020B0604030504040204" pitchFamily="34" charset="0"/>
                <a:cs typeface="Tahoma" panose="020B0604030504040204" pitchFamily="34" charset="0"/>
              </a:rPr>
              <a:t> : </a:t>
            </a:r>
            <a:endParaRPr lang="es-ES" sz="7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44 Rectángulo redondeado">
            <a:extLst>
              <a:ext uri="{FF2B5EF4-FFF2-40B4-BE49-F238E27FC236}">
                <a16:creationId xmlns:a16="http://schemas.microsoft.com/office/drawing/2014/main" id="{1C3B2553-3654-3E36-94DE-8466E137F70D}"/>
              </a:ext>
            </a:extLst>
          </xdr:cNvPr>
          <xdr:cNvSpPr/>
        </xdr:nvSpPr>
        <xdr:spPr>
          <a:xfrm>
            <a:off x="2286000" y="3214688"/>
            <a:ext cx="3181350" cy="1357312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">
        <xdr:nvSpPr>
          <xdr:cNvPr id="30" name="45 CuadroTexto">
            <a:extLst>
              <a:ext uri="{FF2B5EF4-FFF2-40B4-BE49-F238E27FC236}">
                <a16:creationId xmlns:a16="http://schemas.microsoft.com/office/drawing/2014/main" id="{C0BA13A6-3502-906A-876B-4E0BD05C8D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10358" y="3221070"/>
            <a:ext cx="1836680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DEPOSITARIO / FIADOR SOLIDARIO</a:t>
            </a:r>
          </a:p>
        </xdr:txBody>
      </xdr:sp>
      <xdr:grpSp>
        <xdr:nvGrpSpPr>
          <xdr:cNvPr id="31" name="62 Grupo">
            <a:extLst>
              <a:ext uri="{FF2B5EF4-FFF2-40B4-BE49-F238E27FC236}">
                <a16:creationId xmlns:a16="http://schemas.microsoft.com/office/drawing/2014/main" id="{ECB5C079-2B40-9A99-7699-BE31FB95E1D4}"/>
              </a:ext>
            </a:extLst>
          </xdr:cNvPr>
          <xdr:cNvGrpSpPr>
            <a:grpSpLocks/>
          </xdr:cNvGrpSpPr>
        </xdr:nvGrpSpPr>
        <xdr:grpSpPr bwMode="auto">
          <a:xfrm>
            <a:off x="2324100" y="2428877"/>
            <a:ext cx="5645151" cy="785814"/>
            <a:chOff x="2285984" y="2428868"/>
            <a:chExt cx="5644874" cy="934410"/>
          </a:xfrm>
        </xdr:grpSpPr>
        <xdr:sp macro="" textlink="">
          <xdr:nvSpPr>
            <xdr:cNvPr id="53" name="31 Arco">
              <a:extLst>
                <a:ext uri="{FF2B5EF4-FFF2-40B4-BE49-F238E27FC236}">
                  <a16:creationId xmlns:a16="http://schemas.microsoft.com/office/drawing/2014/main" id="{B19CAC55-7FDF-2D25-3AED-C315FD07F208}"/>
                </a:ext>
              </a:extLst>
            </xdr:cNvPr>
            <xdr:cNvSpPr/>
          </xdr:nvSpPr>
          <xdr:spPr>
            <a:xfrm flipH="1">
              <a:off x="2287572" y="2428868"/>
              <a:ext cx="142868" cy="213310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54" name="33 Conector recto">
              <a:extLst>
                <a:ext uri="{FF2B5EF4-FFF2-40B4-BE49-F238E27FC236}">
                  <a16:creationId xmlns:a16="http://schemas.microsoft.com/office/drawing/2014/main" id="{F3483DFF-AB62-7F66-17DE-E009B76BF4C9}"/>
                </a:ext>
              </a:extLst>
            </xdr:cNvPr>
            <xdr:cNvCxnSpPr>
              <a:stCxn id="53" idx="0"/>
            </xdr:cNvCxnSpPr>
          </xdr:nvCxnSpPr>
          <xdr:spPr>
            <a:xfrm>
              <a:off x="2359006" y="2428868"/>
              <a:ext cx="5471843" cy="1888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" name="35 Conector recto">
              <a:extLst>
                <a:ext uri="{FF2B5EF4-FFF2-40B4-BE49-F238E27FC236}">
                  <a16:creationId xmlns:a16="http://schemas.microsoft.com/office/drawing/2014/main" id="{36E33FC9-CF3A-B5DF-F226-67FC72DE81D8}"/>
                </a:ext>
              </a:extLst>
            </xdr:cNvPr>
            <xdr:cNvCxnSpPr>
              <a:stCxn id="53" idx="2"/>
            </xdr:cNvCxnSpPr>
          </xdr:nvCxnSpPr>
          <xdr:spPr>
            <a:xfrm flipH="1">
              <a:off x="2285984" y="2535523"/>
              <a:ext cx="1588" cy="75791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6" name="36 Arco">
              <a:extLst>
                <a:ext uri="{FF2B5EF4-FFF2-40B4-BE49-F238E27FC236}">
                  <a16:creationId xmlns:a16="http://schemas.microsoft.com/office/drawing/2014/main" id="{F98D935A-B7EE-EDEB-8E05-33D38F1EF61F}"/>
                </a:ext>
              </a:extLst>
            </xdr:cNvPr>
            <xdr:cNvSpPr/>
          </xdr:nvSpPr>
          <xdr:spPr>
            <a:xfrm>
              <a:off x="7724491" y="2428868"/>
              <a:ext cx="204778" cy="213310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57" name="37 Conector recto">
              <a:extLst>
                <a:ext uri="{FF2B5EF4-FFF2-40B4-BE49-F238E27FC236}">
                  <a16:creationId xmlns:a16="http://schemas.microsoft.com/office/drawing/2014/main" id="{B507C6F9-CF66-F0E6-3CA5-D98BC97B5C8B}"/>
                </a:ext>
              </a:extLst>
            </xdr:cNvPr>
            <xdr:cNvCxnSpPr/>
          </xdr:nvCxnSpPr>
          <xdr:spPr>
            <a:xfrm flipH="1">
              <a:off x="7929271" y="2515766"/>
              <a:ext cx="1587" cy="322797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8" name="38 Arco">
              <a:extLst>
                <a:ext uri="{FF2B5EF4-FFF2-40B4-BE49-F238E27FC236}">
                  <a16:creationId xmlns:a16="http://schemas.microsoft.com/office/drawing/2014/main" id="{C0C68215-F956-D5F6-C438-F4FF390E1611}"/>
                </a:ext>
              </a:extLst>
            </xdr:cNvPr>
            <xdr:cNvSpPr/>
          </xdr:nvSpPr>
          <xdr:spPr>
            <a:xfrm flipH="1" flipV="1">
              <a:off x="2287572" y="3221700"/>
              <a:ext cx="142868" cy="134027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59" name="43 Conector recto">
              <a:extLst>
                <a:ext uri="{FF2B5EF4-FFF2-40B4-BE49-F238E27FC236}">
                  <a16:creationId xmlns:a16="http://schemas.microsoft.com/office/drawing/2014/main" id="{5FB9ED9D-9026-7AE2-D90E-E5C2DB4FC21B}"/>
                </a:ext>
              </a:extLst>
            </xdr:cNvPr>
            <xdr:cNvCxnSpPr/>
          </xdr:nvCxnSpPr>
          <xdr:spPr>
            <a:xfrm>
              <a:off x="2359005" y="3357614"/>
              <a:ext cx="3022451" cy="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0" name="50 Arco">
              <a:extLst>
                <a:ext uri="{FF2B5EF4-FFF2-40B4-BE49-F238E27FC236}">
                  <a16:creationId xmlns:a16="http://schemas.microsoft.com/office/drawing/2014/main" id="{A72117CC-4057-EB17-FEC9-7DA16B4F5791}"/>
                </a:ext>
              </a:extLst>
            </xdr:cNvPr>
            <xdr:cNvSpPr/>
          </xdr:nvSpPr>
          <xdr:spPr>
            <a:xfrm flipV="1">
              <a:off x="5281450" y="3229251"/>
              <a:ext cx="133343" cy="134027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sp macro="" textlink="">
          <xdr:nvSpPr>
            <xdr:cNvPr id="61" name="51 Arco">
              <a:extLst>
                <a:ext uri="{FF2B5EF4-FFF2-40B4-BE49-F238E27FC236}">
                  <a16:creationId xmlns:a16="http://schemas.microsoft.com/office/drawing/2014/main" id="{1310290D-8E69-4635-2BBB-A6BB00948817}"/>
                </a:ext>
              </a:extLst>
            </xdr:cNvPr>
            <xdr:cNvSpPr/>
          </xdr:nvSpPr>
          <xdr:spPr>
            <a:xfrm flipH="1">
              <a:off x="5414793" y="2895129"/>
              <a:ext cx="142868" cy="215197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sp macro="" textlink="">
          <xdr:nvSpPr>
            <xdr:cNvPr id="62" name="52 Arco">
              <a:extLst>
                <a:ext uri="{FF2B5EF4-FFF2-40B4-BE49-F238E27FC236}">
                  <a16:creationId xmlns:a16="http://schemas.microsoft.com/office/drawing/2014/main" id="{C4283818-3A73-5A19-82C4-2F72967A184F}"/>
                </a:ext>
              </a:extLst>
            </xdr:cNvPr>
            <xdr:cNvSpPr/>
          </xdr:nvSpPr>
          <xdr:spPr>
            <a:xfrm flipV="1">
              <a:off x="7795926" y="2761102"/>
              <a:ext cx="133343" cy="132139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63" name="53 Conector recto">
              <a:extLst>
                <a:ext uri="{FF2B5EF4-FFF2-40B4-BE49-F238E27FC236}">
                  <a16:creationId xmlns:a16="http://schemas.microsoft.com/office/drawing/2014/main" id="{0F92169D-B23B-455B-DAE7-FF052BB89A3B}"/>
                </a:ext>
              </a:extLst>
            </xdr:cNvPr>
            <xdr:cNvCxnSpPr/>
          </xdr:nvCxnSpPr>
          <xdr:spPr>
            <a:xfrm>
              <a:off x="5486227" y="2895129"/>
              <a:ext cx="2376371" cy="1887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54 Conector recto">
              <a:extLst>
                <a:ext uri="{FF2B5EF4-FFF2-40B4-BE49-F238E27FC236}">
                  <a16:creationId xmlns:a16="http://schemas.microsoft.com/office/drawing/2014/main" id="{C2A94601-61E9-1E90-7BCC-6D91EEC7D521}"/>
                </a:ext>
              </a:extLst>
            </xdr:cNvPr>
            <xdr:cNvCxnSpPr/>
          </xdr:nvCxnSpPr>
          <xdr:spPr>
            <a:xfrm flipH="1">
              <a:off x="5414793" y="2980076"/>
              <a:ext cx="1587" cy="326572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2" name="77 Conector recto">
            <a:extLst>
              <a:ext uri="{FF2B5EF4-FFF2-40B4-BE49-F238E27FC236}">
                <a16:creationId xmlns:a16="http://schemas.microsoft.com/office/drawing/2014/main" id="{DCA22247-29BA-5FD4-3377-63574A7C3528}"/>
              </a:ext>
            </a:extLst>
          </xdr:cNvPr>
          <xdr:cNvCxnSpPr/>
        </xdr:nvCxnSpPr>
        <xdr:spPr>
          <a:xfrm>
            <a:off x="511175" y="4605338"/>
            <a:ext cx="7561263" cy="158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83 Rectángulo redondeado">
            <a:extLst>
              <a:ext uri="{FF2B5EF4-FFF2-40B4-BE49-F238E27FC236}">
                <a16:creationId xmlns:a16="http://schemas.microsoft.com/office/drawing/2014/main" id="{4EF961AA-5E63-8A83-60B0-47A2002E2FCA}"/>
              </a:ext>
            </a:extLst>
          </xdr:cNvPr>
          <xdr:cNvSpPr/>
        </xdr:nvSpPr>
        <xdr:spPr>
          <a:xfrm>
            <a:off x="5492750" y="2928938"/>
            <a:ext cx="2474913" cy="1643062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">
        <xdr:nvSpPr>
          <xdr:cNvPr id="34" name="84 CuadroTexto">
            <a:extLst>
              <a:ext uri="{FF2B5EF4-FFF2-40B4-BE49-F238E27FC236}">
                <a16:creationId xmlns:a16="http://schemas.microsoft.com/office/drawing/2014/main" id="{56D93F72-6E10-6954-7A9E-4ACB753D4567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83225" y="2992438"/>
            <a:ext cx="2456122" cy="7035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Girador:</a:t>
            </a:r>
          </a:p>
          <a:p>
            <a:pPr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INANDES FACTOR CAPITAL S.A.C.</a:t>
            </a:r>
          </a:p>
          <a:p>
            <a:pPr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RUC 20601555434</a:t>
            </a:r>
          </a:p>
          <a:p>
            <a:pPr eaLnBrk="1" hangingPunct="1"/>
            <a:r>
              <a:rPr lang="es-ES_tradnl" sz="600" b="1">
                <a:latin typeface="Tahoma" panose="020B0604030504040204" pitchFamily="34" charset="0"/>
                <a:cs typeface="Tahoma" panose="020B0604030504040204" pitchFamily="34" charset="0"/>
              </a:rPr>
              <a:t>Juan Ricardo Gallo Pizarro – Gerente General</a:t>
            </a:r>
          </a:p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DNI.: 02816271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Dirección: Calle Los Tulipanes 147 Oficina 306 - Urb. El Polo Hunt, 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Distrito de Santiago de Surco, provincia y departamento de Lima</a:t>
            </a:r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85 CuadroTexto">
            <a:extLst>
              <a:ext uri="{FF2B5EF4-FFF2-40B4-BE49-F238E27FC236}">
                <a16:creationId xmlns:a16="http://schemas.microsoft.com/office/drawing/2014/main" id="{8565A7E8-88AD-5685-BBBB-366FAA7F2168}"/>
              </a:ext>
            </a:extLst>
          </xdr:cNvPr>
          <xdr:cNvSpPr txBox="1">
            <a:spLocks noChangeArrowheads="1"/>
          </xdr:cNvSpPr>
        </xdr:nvSpPr>
        <xdr:spPr bwMode="auto">
          <a:xfrm>
            <a:off x="5909292" y="4127884"/>
            <a:ext cx="1590602" cy="3514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INANDES FACTOR CAPITAL SAC</a:t>
            </a:r>
          </a:p>
          <a:p>
            <a:pPr algn="ctr"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Juan Ricardo Gallo Pizarro</a:t>
            </a:r>
          </a:p>
          <a:p>
            <a:pPr algn="ctr" eaLnBrk="1" hangingPunct="1"/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cxnSp macro="">
        <xdr:nvCxnSpPr>
          <xdr:cNvPr id="36" name="86 Conector recto">
            <a:extLst>
              <a:ext uri="{FF2B5EF4-FFF2-40B4-BE49-F238E27FC236}">
                <a16:creationId xmlns:a16="http://schemas.microsoft.com/office/drawing/2014/main" id="{5B59B9E9-844D-A8CD-F148-A573E5B77270}"/>
              </a:ext>
            </a:extLst>
          </xdr:cNvPr>
          <xdr:cNvCxnSpPr/>
        </xdr:nvCxnSpPr>
        <xdr:spPr>
          <a:xfrm>
            <a:off x="5954256" y="4117423"/>
            <a:ext cx="1452562" cy="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89 CuadroTexto">
            <a:extLst>
              <a:ext uri="{FF2B5EF4-FFF2-40B4-BE49-F238E27FC236}">
                <a16:creationId xmlns:a16="http://schemas.microsoft.com/office/drawing/2014/main" id="{1115EC7B-9573-4F5B-04D1-2711B4E41E3E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30950" y="4324522"/>
            <a:ext cx="67518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DNI 02816271</a:t>
            </a:r>
          </a:p>
        </xdr:txBody>
      </xdr:sp>
      <xdr:sp macro="" textlink="">
        <xdr:nvSpPr>
          <xdr:cNvPr id="38" name="91 CuadroTexto">
            <a:extLst>
              <a:ext uri="{FF2B5EF4-FFF2-40B4-BE49-F238E27FC236}">
                <a16:creationId xmlns:a16="http://schemas.microsoft.com/office/drawing/2014/main" id="{84586320-4F11-55AC-25DE-0E111DC27E67}"/>
              </a:ext>
            </a:extLst>
          </xdr:cNvPr>
          <xdr:cNvSpPr txBox="1">
            <a:spLocks noChangeArrowheads="1"/>
          </xdr:cNvSpPr>
        </xdr:nvSpPr>
        <xdr:spPr bwMode="auto">
          <a:xfrm>
            <a:off x="438150" y="4576763"/>
            <a:ext cx="2375355" cy="2111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800">
                <a:latin typeface="Tahoma" panose="020B0604030504040204" pitchFamily="34" charset="0"/>
                <a:cs typeface="Tahoma" panose="020B0604030504040204" pitchFamily="34" charset="0"/>
              </a:rPr>
              <a:t>No escribir ni firmar debajo de esta línea</a:t>
            </a:r>
            <a:endParaRPr lang="es-ES" sz="8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92 CuadroTexto">
            <a:extLst>
              <a:ext uri="{FF2B5EF4-FFF2-40B4-BE49-F238E27FC236}">
                <a16:creationId xmlns:a16="http://schemas.microsoft.com/office/drawing/2014/main" id="{CBC2FB4A-0482-843F-1B6B-240C7B427871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-955041" y="2282628"/>
            <a:ext cx="3929062" cy="64968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1. En caso de mora, esta Letra de Cambio generará las tasas de interés compensatorio y moratorio 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    mas altas que la ley permita a su último tenedor.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2. El plazo de su vencimiento podrá ser prorrogado por el Tenedor, por el plazo que éste señale, sin 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    que sea necesaria la intervención del obligado principal ni de los solidarios.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3. Esta letra de cambio no requiere ser protestada por falta de pago.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4. Su importe debe ser pagado sólo en la misma moneda que expresa este título valor.</a:t>
            </a:r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93 CuadroTexto">
            <a:extLst>
              <a:ext uri="{FF2B5EF4-FFF2-40B4-BE49-F238E27FC236}">
                <a16:creationId xmlns:a16="http://schemas.microsoft.com/office/drawing/2014/main" id="{D27028DD-F7F3-7F1E-A6FB-7341B6550956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3081" y="1776413"/>
            <a:ext cx="98750" cy="2157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CLAUSULAS </a:t>
            </a:r>
          </a:p>
          <a:p>
            <a:pPr algn="ctr"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 ESPECIALES</a:t>
            </a:r>
          </a:p>
        </xdr:txBody>
      </xdr:sp>
      <xdr:sp macro="" textlink="">
        <xdr:nvSpPr>
          <xdr:cNvPr id="41" name="81 CuadroTexto">
            <a:extLst>
              <a:ext uri="{FF2B5EF4-FFF2-40B4-BE49-F238E27FC236}">
                <a16:creationId xmlns:a16="http://schemas.microsoft.com/office/drawing/2014/main" id="{B8562B61-B57F-53EF-A849-91FDAC5D1C1C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15456" y="1508075"/>
            <a:ext cx="928688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C3">
        <xdr:nvSpPr>
          <xdr:cNvPr id="42" name="84 CuadroTexto">
            <a:extLst>
              <a:ext uri="{FF2B5EF4-FFF2-40B4-BE49-F238E27FC236}">
                <a16:creationId xmlns:a16="http://schemas.microsoft.com/office/drawing/2014/main" id="{767E8871-1774-3226-6725-88C63EF35FB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53364" y="1521857"/>
            <a:ext cx="952336" cy="1803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2804D71A-565F-4414-8D35-CEA8EC931150}" type="TxLink">
              <a:rPr lang="en-US" sz="6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08CORNOV/23</a:t>
            </a:fld>
            <a:endParaRPr lang="es-ES" sz="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103 CuadroTexto">
            <a:extLst>
              <a:ext uri="{FF2B5EF4-FFF2-40B4-BE49-F238E27FC236}">
                <a16:creationId xmlns:a16="http://schemas.microsoft.com/office/drawing/2014/main" id="{E018C1FC-8A0E-696E-66A6-AC51AAD367F3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26421" y="1527126"/>
            <a:ext cx="605027" cy="195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700">
                <a:latin typeface="Tahoma" panose="020B0604030504040204" pitchFamily="34" charset="0"/>
                <a:cs typeface="Tahoma" panose="020B0604030504040204" pitchFamily="34" charset="0"/>
              </a:rPr>
              <a:t>Lima, Perú</a:t>
            </a:r>
            <a:endParaRPr lang="es-ES" sz="7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C8">
        <xdr:nvSpPr>
          <xdr:cNvPr id="44" name="105 CuadroTexto">
            <a:extLst>
              <a:ext uri="{FF2B5EF4-FFF2-40B4-BE49-F238E27FC236}">
                <a16:creationId xmlns:a16="http://schemas.microsoft.com/office/drawing/2014/main" id="{E6E3DC02-661A-8DE7-1CEE-A51AC84A9B25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98790" y="1500188"/>
            <a:ext cx="1113501" cy="2255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D99324E5-B79A-442C-9122-C16143120059}" type="TxLink">
              <a:rPr lang="en-US" sz="9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PEN 7,435.54</a:t>
            </a:fld>
            <a:endParaRPr lang="es-ES" sz="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46 CuadroTexto">
            <a:extLst>
              <a:ext uri="{FF2B5EF4-FFF2-40B4-BE49-F238E27FC236}">
                <a16:creationId xmlns:a16="http://schemas.microsoft.com/office/drawing/2014/main" id="{1B70186B-3F2D-2D99-BCDD-6E34498DFFFF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91841" y="3357124"/>
            <a:ext cx="517880" cy="1767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r>
              <a:rPr lang="es-ES" sz="600">
                <a:latin typeface="Tahoma" pitchFamily="34" charset="0"/>
                <a:cs typeface="Tahoma" pitchFamily="34" charset="0"/>
              </a:rPr>
              <a:t>NOMBRE:</a:t>
            </a:r>
            <a:endParaRPr lang="es-ES" sz="600" b="1">
              <a:latin typeface="Tahoma" pitchFamily="34" charset="0"/>
              <a:cs typeface="Tahoma" pitchFamily="34" charset="0"/>
            </a:endParaRPr>
          </a:p>
        </xdr:txBody>
      </xdr:sp>
      <xdr:sp macro="" textlink="Datos!D11">
        <xdr:nvSpPr>
          <xdr:cNvPr id="46" name="48 CuadroTexto">
            <a:extLst>
              <a:ext uri="{FF2B5EF4-FFF2-40B4-BE49-F238E27FC236}">
                <a16:creationId xmlns:a16="http://schemas.microsoft.com/office/drawing/2014/main" id="{946F6AF9-7E6B-21D1-2020-532A034CC3E3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18509" y="3330624"/>
            <a:ext cx="658911" cy="1803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EA3EF467-2D86-4C33-AE83-D8B7767F42D5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43371978</a:t>
            </a:fld>
            <a:endParaRPr lang="es-ES" sz="1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7" name="49 CuadroTexto">
            <a:extLst>
              <a:ext uri="{FF2B5EF4-FFF2-40B4-BE49-F238E27FC236}">
                <a16:creationId xmlns:a16="http://schemas.microsoft.com/office/drawing/2014/main" id="{36D684CF-1C50-4E56-1F98-3A86AF02E40D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91173" y="3486255"/>
            <a:ext cx="617677" cy="17547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r>
              <a:rPr lang="es-ES" sz="600">
                <a:latin typeface="Tahoma" pitchFamily="34" charset="0"/>
                <a:cs typeface="Tahoma" pitchFamily="34" charset="0"/>
              </a:rPr>
              <a:t>DOMICILIO:</a:t>
            </a:r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B6">
        <xdr:nvSpPr>
          <xdr:cNvPr id="48" name="84 CuadroTexto">
            <a:extLst>
              <a:ext uri="{FF2B5EF4-FFF2-40B4-BE49-F238E27FC236}">
                <a16:creationId xmlns:a16="http://schemas.microsoft.com/office/drawing/2014/main" id="{4DB7C7A5-A90B-E338-6EFB-8FA52B93575D}"/>
              </a:ext>
            </a:extLst>
          </xdr:cNvPr>
          <xdr:cNvSpPr txBox="1">
            <a:spLocks noChangeArrowheads="1"/>
          </xdr:cNvSpPr>
        </xdr:nvSpPr>
        <xdr:spPr bwMode="auto">
          <a:xfrm>
            <a:off x="4115692" y="1578391"/>
            <a:ext cx="642938" cy="195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E42AD26E-ADBD-464A-BAD4-B3D4386ECE84}" type="TxLink">
              <a:rPr lang="en-US" sz="7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05/06/2025</a:t>
            </a:fld>
            <a:endParaRPr lang="es-ES_tradnl" sz="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$B$7">
        <xdr:nvSpPr>
          <xdr:cNvPr id="49" name="85 CuadroTexto">
            <a:extLst>
              <a:ext uri="{FF2B5EF4-FFF2-40B4-BE49-F238E27FC236}">
                <a16:creationId xmlns:a16="http://schemas.microsoft.com/office/drawing/2014/main" id="{20F5B1C1-E84A-D518-F39D-C9CC2505B8AF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04718" y="1581152"/>
            <a:ext cx="642938" cy="195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488F682B-29EC-4EBC-833D-C3BB99ACCEC9}" type="TxLink">
              <a:rPr lang="en-US" sz="7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25/07/2025</a:t>
            </a:fld>
            <a:endParaRPr lang="es-ES_tradnl" sz="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81 CuadroTexto">
            <a:extLst>
              <a:ext uri="{FF2B5EF4-FFF2-40B4-BE49-F238E27FC236}">
                <a16:creationId xmlns:a16="http://schemas.microsoft.com/office/drawing/2014/main" id="{8070875F-88C3-1B83-21F1-CD3459088B8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892664" y="4206082"/>
            <a:ext cx="1427050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cxnSp macro="">
        <xdr:nvCxnSpPr>
          <xdr:cNvPr id="51" name="99 Conector recto">
            <a:extLst>
              <a:ext uri="{FF2B5EF4-FFF2-40B4-BE49-F238E27FC236}">
                <a16:creationId xmlns:a16="http://schemas.microsoft.com/office/drawing/2014/main" id="{153C02E5-E714-71D7-FD33-EC56D2A18299}"/>
              </a:ext>
            </a:extLst>
          </xdr:cNvPr>
          <xdr:cNvCxnSpPr>
            <a:cxnSpLocks/>
          </xdr:cNvCxnSpPr>
        </xdr:nvCxnSpPr>
        <xdr:spPr>
          <a:xfrm>
            <a:off x="1734294" y="1715646"/>
            <a:ext cx="0" cy="2100063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94 CuadroTexto">
            <a:extLst>
              <a:ext uri="{FF2B5EF4-FFF2-40B4-BE49-F238E27FC236}">
                <a16:creationId xmlns:a16="http://schemas.microsoft.com/office/drawing/2014/main" id="{9B4E98C1-857C-7C8A-A3DF-BABEB3712D9A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476602" y="3919098"/>
            <a:ext cx="616688" cy="1460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Aceptante:</a:t>
            </a:r>
            <a:endParaRPr lang="es-PE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3</xdr:col>
      <xdr:colOff>487801</xdr:colOff>
      <xdr:row>23</xdr:row>
      <xdr:rowOff>136954</xdr:rowOff>
    </xdr:from>
    <xdr:to>
      <xdr:col>5</xdr:col>
      <xdr:colOff>655801</xdr:colOff>
      <xdr:row>23</xdr:row>
      <xdr:rowOff>142802</xdr:rowOff>
    </xdr:to>
    <xdr:cxnSp macro="">
      <xdr:nvCxnSpPr>
        <xdr:cNvPr id="65" name="90 Conector recto">
          <a:extLst>
            <a:ext uri="{FF2B5EF4-FFF2-40B4-BE49-F238E27FC236}">
              <a16:creationId xmlns:a16="http://schemas.microsoft.com/office/drawing/2014/main" id="{8C47AE56-D34F-41CA-BB5F-7C5A0A2BC6FF}"/>
            </a:ext>
          </a:extLst>
        </xdr:cNvPr>
        <xdr:cNvCxnSpPr>
          <a:cxnSpLocks/>
        </xdr:cNvCxnSpPr>
      </xdr:nvCxnSpPr>
      <xdr:spPr bwMode="auto">
        <a:xfrm>
          <a:off x="2773801" y="3861229"/>
          <a:ext cx="1692000" cy="5848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338694</xdr:colOff>
      <xdr:row>24</xdr:row>
      <xdr:rowOff>19445</xdr:rowOff>
    </xdr:from>
    <xdr:to>
      <xdr:col>5</xdr:col>
      <xdr:colOff>720149</xdr:colOff>
      <xdr:row>24</xdr:row>
      <xdr:rowOff>95861</xdr:rowOff>
    </xdr:to>
    <xdr:sp macro="" textlink="Datos!B10">
      <xdr:nvSpPr>
        <xdr:cNvPr id="66" name="Rectángulo 65">
          <a:extLst>
            <a:ext uri="{FF2B5EF4-FFF2-40B4-BE49-F238E27FC236}">
              <a16:creationId xmlns:a16="http://schemas.microsoft.com/office/drawing/2014/main" id="{3EBED2DF-312E-4C1B-B68B-647F79222344}"/>
            </a:ext>
          </a:extLst>
        </xdr:cNvPr>
        <xdr:cNvSpPr/>
      </xdr:nvSpPr>
      <xdr:spPr>
        <a:xfrm>
          <a:off x="2624694" y="3803169"/>
          <a:ext cx="1905455" cy="76416"/>
        </a:xfrm>
        <a:prstGeom prst="rect">
          <a:avLst/>
        </a:prstGeom>
      </xdr:spPr>
      <xdr:txBody>
        <a:bodyPr wrap="square" anchor="ctr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ctr" eaLnBrk="1" hangingPunct="1"/>
          <a:fld id="{4B6BED0D-9D2B-4B10-B33B-CD8BDCC94C99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 eaLnBrk="1" hangingPunct="1"/>
            <a:t>SUSY ELIZABETH GARCIA SALIRROSAS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561355</xdr:colOff>
      <xdr:row>17</xdr:row>
      <xdr:rowOff>98417</xdr:rowOff>
    </xdr:from>
    <xdr:to>
      <xdr:col>6</xdr:col>
      <xdr:colOff>192986</xdr:colOff>
      <xdr:row>18</xdr:row>
      <xdr:rowOff>122186</xdr:rowOff>
    </xdr:to>
    <xdr:sp macro="" textlink="Datos!C11">
      <xdr:nvSpPr>
        <xdr:cNvPr id="67" name="48 CuadroTexto">
          <a:extLst>
            <a:ext uri="{FF2B5EF4-FFF2-40B4-BE49-F238E27FC236}">
              <a16:creationId xmlns:a16="http://schemas.microsoft.com/office/drawing/2014/main" id="{F3675C0D-79A9-49B7-A7CC-6DAB3688C326}"/>
            </a:ext>
          </a:extLst>
        </xdr:cNvPr>
        <xdr:cNvSpPr txBox="1">
          <a:spLocks noChangeArrowheads="1"/>
        </xdr:cNvSpPr>
      </xdr:nvSpPr>
      <xdr:spPr bwMode="auto">
        <a:xfrm>
          <a:off x="4371355" y="2851142"/>
          <a:ext cx="393631" cy="1856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>
          <a:noAutofit/>
        </a:bodyPr>
        <a:lstStyle/>
        <a:p>
          <a:pPr eaLnBrk="1" hangingPunct="1"/>
          <a:fld id="{3D0401F6-C804-495A-BD34-10B13FF1A231}" type="TxLink">
            <a:rPr lang="en-US" sz="6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DNI : </a:t>
          </a:fld>
          <a:endParaRPr lang="es-ES" sz="300" b="1" i="0" u="none" strike="noStrike">
            <a:solidFill>
              <a:srgbClr val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5237</xdr:colOff>
      <xdr:row>17</xdr:row>
      <xdr:rowOff>120441</xdr:rowOff>
    </xdr:from>
    <xdr:to>
      <xdr:col>5</xdr:col>
      <xdr:colOff>417842</xdr:colOff>
      <xdr:row>18</xdr:row>
      <xdr:rowOff>147886</xdr:rowOff>
    </xdr:to>
    <xdr:sp macro="" textlink="Datos!B10">
      <xdr:nvSpPr>
        <xdr:cNvPr id="68" name="46 CuadroTexto">
          <a:extLst>
            <a:ext uri="{FF2B5EF4-FFF2-40B4-BE49-F238E27FC236}">
              <a16:creationId xmlns:a16="http://schemas.microsoft.com/office/drawing/2014/main" id="{94E39FA7-F004-482F-8B58-5D5EABA9FE16}"/>
            </a:ext>
          </a:extLst>
        </xdr:cNvPr>
        <xdr:cNvSpPr txBox="1">
          <a:spLocks noChangeArrowheads="1"/>
        </xdr:cNvSpPr>
      </xdr:nvSpPr>
      <xdr:spPr bwMode="auto">
        <a:xfrm>
          <a:off x="2291237" y="2873166"/>
          <a:ext cx="1936605" cy="1893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>
            <a:defRPr/>
          </a:pPr>
          <a:fld id="{A0258006-61F5-466A-9AF8-4CADA06BB47D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>
              <a:defRPr/>
            </a:pPr>
            <a:t>SUSY ELIZABETH GARCIA SALIRROSAS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504676</xdr:colOff>
      <xdr:row>24</xdr:row>
      <xdr:rowOff>96240</xdr:rowOff>
    </xdr:from>
    <xdr:to>
      <xdr:col>5</xdr:col>
      <xdr:colOff>571765</xdr:colOff>
      <xdr:row>25</xdr:row>
      <xdr:rowOff>33817</xdr:rowOff>
    </xdr:to>
    <xdr:sp macro="" textlink="Datos!B11">
      <xdr:nvSpPr>
        <xdr:cNvPr id="69" name="Rectángulo 68">
          <a:extLst>
            <a:ext uri="{FF2B5EF4-FFF2-40B4-BE49-F238E27FC236}">
              <a16:creationId xmlns:a16="http://schemas.microsoft.com/office/drawing/2014/main" id="{C3E9EF1E-5873-489C-A357-C6E26BA21891}"/>
            </a:ext>
          </a:extLst>
        </xdr:cNvPr>
        <xdr:cNvSpPr/>
      </xdr:nvSpPr>
      <xdr:spPr>
        <a:xfrm>
          <a:off x="2790676" y="3982440"/>
          <a:ext cx="1591089" cy="99502"/>
        </a:xfrm>
        <a:prstGeom prst="rect">
          <a:avLst/>
        </a:prstGeom>
      </xdr:spPr>
      <xdr:txBody>
        <a:bodyPr wrap="square" anchor="ctr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ctr" eaLnBrk="1" hangingPunct="1"/>
          <a:fld id="{BF83A00D-BAB8-4FDE-B8A6-884B34EEC81A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 eaLnBrk="1" hangingPunct="1"/>
            <a:t>DNI 43371978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692319</xdr:colOff>
      <xdr:row>15</xdr:row>
      <xdr:rowOff>107323</xdr:rowOff>
    </xdr:from>
    <xdr:to>
      <xdr:col>4</xdr:col>
      <xdr:colOff>114451</xdr:colOff>
      <xdr:row>16</xdr:row>
      <xdr:rowOff>129810</xdr:rowOff>
    </xdr:to>
    <xdr:sp macro="" textlink="Datos!B4">
      <xdr:nvSpPr>
        <xdr:cNvPr id="70" name="42 CuadroTexto">
          <a:extLst>
            <a:ext uri="{FF2B5EF4-FFF2-40B4-BE49-F238E27FC236}">
              <a16:creationId xmlns:a16="http://schemas.microsoft.com/office/drawing/2014/main" id="{95C66133-008D-457F-8307-5CFA89FDE98E}"/>
            </a:ext>
          </a:extLst>
        </xdr:cNvPr>
        <xdr:cNvSpPr txBox="1">
          <a:spLocks noChangeArrowheads="1"/>
        </xdr:cNvSpPr>
      </xdr:nvSpPr>
      <xdr:spPr bwMode="auto">
        <a:xfrm>
          <a:off x="2216319" y="2536198"/>
          <a:ext cx="946132" cy="184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eaLnBrk="1" hangingPunct="1"/>
          <a:fld id="{EACF5F2D-4EC7-4349-9803-CDE59252DA34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20603718489</a:t>
          </a:fld>
          <a:endParaRPr lang="es-ES" sz="600" b="1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467837</xdr:colOff>
      <xdr:row>14</xdr:row>
      <xdr:rowOff>31076</xdr:rowOff>
    </xdr:from>
    <xdr:to>
      <xdr:col>6</xdr:col>
      <xdr:colOff>501735</xdr:colOff>
      <xdr:row>15</xdr:row>
      <xdr:rowOff>155056</xdr:rowOff>
    </xdr:to>
    <xdr:sp macro="" textlink="Datos!B5">
      <xdr:nvSpPr>
        <xdr:cNvPr id="71" name="40 CuadroTexto">
          <a:extLst>
            <a:ext uri="{FF2B5EF4-FFF2-40B4-BE49-F238E27FC236}">
              <a16:creationId xmlns:a16="http://schemas.microsoft.com/office/drawing/2014/main" id="{BA706212-F844-449D-8428-1CEF4463248C}"/>
            </a:ext>
          </a:extLst>
        </xdr:cNvPr>
        <xdr:cNvSpPr txBox="1">
          <a:spLocks noChangeArrowheads="1"/>
        </xdr:cNvSpPr>
      </xdr:nvSpPr>
      <xdr:spPr bwMode="auto">
        <a:xfrm>
          <a:off x="1991837" y="2298026"/>
          <a:ext cx="3081898" cy="285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eaLnBrk="1" hangingPunct="1"/>
          <a:fld id="{AFAFED24-5AF7-4357-A8AF-FEE90A752839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CALLE GENERA CORDOVA Nº 249 DPTO 303, DISTRITO DE MIRAFLORES, PROVINCIA Y DEPARTAMENTO DE LIMA</a:t>
          </a:fld>
          <a:endParaRPr lang="es-ES" sz="2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450418</xdr:colOff>
      <xdr:row>12</xdr:row>
      <xdr:rowOff>129653</xdr:rowOff>
    </xdr:from>
    <xdr:to>
      <xdr:col>9</xdr:col>
      <xdr:colOff>356469</xdr:colOff>
      <xdr:row>13</xdr:row>
      <xdr:rowOff>86967</xdr:rowOff>
    </xdr:to>
    <xdr:sp macro="" textlink="Datos!B2">
      <xdr:nvSpPr>
        <xdr:cNvPr id="72" name="39 CuadroTexto">
          <a:extLst>
            <a:ext uri="{FF2B5EF4-FFF2-40B4-BE49-F238E27FC236}">
              <a16:creationId xmlns:a16="http://schemas.microsoft.com/office/drawing/2014/main" id="{E645FAD5-EFE4-41EA-955D-86FD89184BD2}"/>
            </a:ext>
          </a:extLst>
        </xdr:cNvPr>
        <xdr:cNvSpPr txBox="1">
          <a:spLocks noChangeArrowheads="1"/>
        </xdr:cNvSpPr>
      </xdr:nvSpPr>
      <xdr:spPr bwMode="auto">
        <a:xfrm>
          <a:off x="1974418" y="2072753"/>
          <a:ext cx="5240051" cy="11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 anchor="ctr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eaLnBrk="1" hangingPunct="1"/>
          <a:fld id="{9013C2CF-D857-4D43-8B22-0BADDC96B332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CORDOBA NOVOA SOFIA MERCEDES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649592</xdr:colOff>
      <xdr:row>6</xdr:row>
      <xdr:rowOff>12102</xdr:rowOff>
    </xdr:from>
    <xdr:to>
      <xdr:col>2</xdr:col>
      <xdr:colOff>340364</xdr:colOff>
      <xdr:row>21</xdr:row>
      <xdr:rowOff>23685</xdr:rowOff>
    </xdr:to>
    <xdr:grpSp>
      <xdr:nvGrpSpPr>
        <xdr:cNvPr id="73" name="Grupo 72">
          <a:extLst>
            <a:ext uri="{FF2B5EF4-FFF2-40B4-BE49-F238E27FC236}">
              <a16:creationId xmlns:a16="http://schemas.microsoft.com/office/drawing/2014/main" id="{AF58C985-3322-4E12-9F43-3FA011296E54}"/>
            </a:ext>
          </a:extLst>
        </xdr:cNvPr>
        <xdr:cNvGrpSpPr/>
      </xdr:nvGrpSpPr>
      <xdr:grpSpPr>
        <a:xfrm>
          <a:off x="1411592" y="997447"/>
          <a:ext cx="452772" cy="2474945"/>
          <a:chOff x="1411592" y="1076419"/>
          <a:chExt cx="452772" cy="2429467"/>
        </a:xfrm>
      </xdr:grpSpPr>
      <xdr:sp macro="" textlink="Datos!B2">
        <xdr:nvSpPr>
          <xdr:cNvPr id="74" name="94 CuadroTexto">
            <a:extLst>
              <a:ext uri="{FF2B5EF4-FFF2-40B4-BE49-F238E27FC236}">
                <a16:creationId xmlns:a16="http://schemas.microsoft.com/office/drawing/2014/main" id="{2ABFF861-7A49-DC59-CF21-D1770E677E01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270743" y="2217268"/>
            <a:ext cx="2429467" cy="14777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38ED38E0-C699-4B37-B443-9017BEAF909C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CORDOBA NOVOA SOFIA MERCEDES</a:t>
            </a:fld>
            <a:endParaRPr lang="es-PE" sz="5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5" name="94 CuadroTexto">
            <a:extLst>
              <a:ext uri="{FF2B5EF4-FFF2-40B4-BE49-F238E27FC236}">
                <a16:creationId xmlns:a16="http://schemas.microsoft.com/office/drawing/2014/main" id="{2344A4D9-5604-213A-AF82-4BA4182E772B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429022" y="3258758"/>
            <a:ext cx="399672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/>
          <a:p>
            <a:pPr algn="l" eaLnBrk="1" hangingPunct="1"/>
            <a:r>
              <a:rPr lang="en-US" sz="600" b="1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RUC:</a:t>
            </a:r>
          </a:p>
        </xdr:txBody>
      </xdr:sp>
      <xdr:sp macro="" textlink="Datos!B4">
        <xdr:nvSpPr>
          <xdr:cNvPr id="76" name="94 CuadroTexto">
            <a:extLst>
              <a:ext uri="{FF2B5EF4-FFF2-40B4-BE49-F238E27FC236}">
                <a16:creationId xmlns:a16="http://schemas.microsoft.com/office/drawing/2014/main" id="{7618B552-B97E-E5CB-A016-46AF9967182F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229752" y="2850144"/>
            <a:ext cx="794291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/>
          <a:p>
            <a:pPr algn="l" eaLnBrk="1" hangingPunct="1"/>
            <a:fld id="{A5D032EF-7602-4CC4-9892-FA6E51ED9DA6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eaLnBrk="1" hangingPunct="1"/>
              <a:t>20603718489</a:t>
            </a:fld>
            <a:endParaRPr lang="en-US" sz="600" b="1" i="0" u="none" strike="noStrike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B10">
        <xdr:nvSpPr>
          <xdr:cNvPr id="77" name="94 CuadroTexto">
            <a:extLst>
              <a:ext uri="{FF2B5EF4-FFF2-40B4-BE49-F238E27FC236}">
                <a16:creationId xmlns:a16="http://schemas.microsoft.com/office/drawing/2014/main" id="{A50B60BB-FD6E-9FFC-3347-A6A8F06FC786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566205" y="2299857"/>
            <a:ext cx="2311807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E714DFD7-29F6-4FDC-B23E-4905B20A7443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SUSY ELIZABETH GARCIA SALIRROSAS</a:t>
            </a:fld>
            <a:endParaRPr lang="es-PE" sz="6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B13">
        <xdr:nvSpPr>
          <xdr:cNvPr id="78" name="94 CuadroTexto">
            <a:extLst>
              <a:ext uri="{FF2B5EF4-FFF2-40B4-BE49-F238E27FC236}">
                <a16:creationId xmlns:a16="http://schemas.microsoft.com/office/drawing/2014/main" id="{B5585791-FA76-877F-6AF9-E089BD80C28E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276967" y="2911830"/>
            <a:ext cx="1085505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18753460-58D9-4982-B66D-C277575347F9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GERENTE</a:t>
            </a:fld>
            <a:endParaRPr lang="es-PE" sz="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3</xdr:col>
      <xdr:colOff>95131</xdr:colOff>
      <xdr:row>18</xdr:row>
      <xdr:rowOff>96190</xdr:rowOff>
    </xdr:from>
    <xdr:to>
      <xdr:col>5</xdr:col>
      <xdr:colOff>615463</xdr:colOff>
      <xdr:row>20</xdr:row>
      <xdr:rowOff>154687</xdr:rowOff>
    </xdr:to>
    <xdr:sp macro="" textlink="Datos!B12">
      <xdr:nvSpPr>
        <xdr:cNvPr id="79" name="49 CuadroTexto">
          <a:extLst>
            <a:ext uri="{FF2B5EF4-FFF2-40B4-BE49-F238E27FC236}">
              <a16:creationId xmlns:a16="http://schemas.microsoft.com/office/drawing/2014/main" id="{A3F0EBCD-3245-4EE2-AA94-3D0E7FCC201D}"/>
            </a:ext>
          </a:extLst>
        </xdr:cNvPr>
        <xdr:cNvSpPr txBox="1">
          <a:spLocks noChangeArrowheads="1"/>
        </xdr:cNvSpPr>
      </xdr:nvSpPr>
      <xdr:spPr bwMode="auto">
        <a:xfrm>
          <a:off x="2381131" y="3010840"/>
          <a:ext cx="2044332" cy="38234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fld id="{3F7DA29B-9687-43FB-9ACE-45477E6F8B52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/>
            <a:t>CALLE GENERA CORDOVA Nº 249 DPTO 303, DISTRITO DE MIRAFLORES, PROVINCIA Y DEPARTAMENTO DE LIMA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240195</xdr:colOff>
      <xdr:row>1</xdr:row>
      <xdr:rowOff>55908</xdr:rowOff>
    </xdr:from>
    <xdr:to>
      <xdr:col>11</xdr:col>
      <xdr:colOff>679174</xdr:colOff>
      <xdr:row>3</xdr:row>
      <xdr:rowOff>70908</xdr:rowOff>
    </xdr:to>
    <xdr:sp macro="[0]!Liquidacion" textlink="">
      <xdr:nvSpPr>
        <xdr:cNvPr id="2" name="Rectángulo 1">
          <a:extLst>
            <a:ext uri="{FF2B5EF4-FFF2-40B4-BE49-F238E27FC236}">
              <a16:creationId xmlns:a16="http://schemas.microsoft.com/office/drawing/2014/main" id="{BA3546D6-E7AE-F759-DFF2-8051E837D468}"/>
            </a:ext>
          </a:extLst>
        </xdr:cNvPr>
        <xdr:cNvSpPr/>
      </xdr:nvSpPr>
      <xdr:spPr>
        <a:xfrm>
          <a:off x="8879370" y="351183"/>
          <a:ext cx="1162879" cy="39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LIQUIDAR</a:t>
          </a:r>
        </a:p>
      </xdr:txBody>
    </xdr:sp>
    <xdr:clientData/>
  </xdr:twoCellAnchor>
  <xdr:twoCellAnchor>
    <xdr:from>
      <xdr:col>10</xdr:col>
      <xdr:colOff>248478</xdr:colOff>
      <xdr:row>4</xdr:row>
      <xdr:rowOff>7795</xdr:rowOff>
    </xdr:from>
    <xdr:to>
      <xdr:col>11</xdr:col>
      <xdr:colOff>687457</xdr:colOff>
      <xdr:row>6</xdr:row>
      <xdr:rowOff>22795</xdr:rowOff>
    </xdr:to>
    <xdr:sp macro="[0]!Guardar_PDF" textlink="">
      <xdr:nvSpPr>
        <xdr:cNvPr id="3" name="Rectángulo 2">
          <a:extLst>
            <a:ext uri="{FF2B5EF4-FFF2-40B4-BE49-F238E27FC236}">
              <a16:creationId xmlns:a16="http://schemas.microsoft.com/office/drawing/2014/main" id="{3A15A967-43C3-48FB-9C42-DC8F96B6B282}"/>
            </a:ext>
          </a:extLst>
        </xdr:cNvPr>
        <xdr:cNvSpPr/>
      </xdr:nvSpPr>
      <xdr:spPr>
        <a:xfrm>
          <a:off x="8887653" y="874570"/>
          <a:ext cx="1162879" cy="39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EXPORTAR</a:t>
          </a:r>
        </a:p>
      </xdr:txBody>
    </xdr:sp>
    <xdr:clientData/>
  </xdr:twoCellAnchor>
  <xdr:twoCellAnchor editAs="oneCell">
    <xdr:from>
      <xdr:col>8</xdr:col>
      <xdr:colOff>607554</xdr:colOff>
      <xdr:row>0</xdr:row>
      <xdr:rowOff>0</xdr:rowOff>
    </xdr:from>
    <xdr:to>
      <xdr:col>9</xdr:col>
      <xdr:colOff>671458</xdr:colOff>
      <xdr:row>1</xdr:row>
      <xdr:rowOff>106998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10241E8-0FBF-A3AC-35DA-34939A579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10378" y="0"/>
          <a:ext cx="1117257" cy="398351"/>
        </a:xfrm>
        <a:prstGeom prst="rect">
          <a:avLst/>
        </a:prstGeom>
      </xdr:spPr>
    </xdr:pic>
    <xdr:clientData/>
  </xdr:twoCellAnchor>
  <xdr:twoCellAnchor>
    <xdr:from>
      <xdr:col>10</xdr:col>
      <xdr:colOff>257734</xdr:colOff>
      <xdr:row>6</xdr:row>
      <xdr:rowOff>148478</xdr:rowOff>
    </xdr:from>
    <xdr:to>
      <xdr:col>11</xdr:col>
      <xdr:colOff>695751</xdr:colOff>
      <xdr:row>8</xdr:row>
      <xdr:rowOff>163478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AE84994A-82B1-83F5-3815-A564A60B320D}"/>
            </a:ext>
          </a:extLst>
        </xdr:cNvPr>
        <xdr:cNvSpPr/>
      </xdr:nvSpPr>
      <xdr:spPr>
        <a:xfrm>
          <a:off x="8896909" y="1396253"/>
          <a:ext cx="1161917" cy="39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BORRAR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F1FE3-26D0-4CEE-8875-0D8B5C88CDBE}">
  <sheetPr codeName="Hoja1">
    <tabColor rgb="FF92CDDC"/>
  </sheetPr>
  <dimension ref="A1:Z999"/>
  <sheetViews>
    <sheetView showGridLines="0" tabSelected="1" view="pageBreakPreview" zoomScaleNormal="100" zoomScaleSheetLayoutView="100" workbookViewId="0">
      <selection activeCell="B13" sqref="B13:I14"/>
    </sheetView>
  </sheetViews>
  <sheetFormatPr baseColWidth="10" defaultColWidth="14.42578125" defaultRowHeight="15" customHeight="1" outlineLevelRow="1" outlineLevelCol="1"/>
  <cols>
    <col min="1" max="1" width="3.7109375" style="4" customWidth="1"/>
    <col min="2" max="3" width="18.7109375" style="4" customWidth="1"/>
    <col min="4" max="4" width="18.7109375" style="4" hidden="1" customWidth="1"/>
    <col min="5" max="5" width="13.85546875" style="4" hidden="1" customWidth="1"/>
    <col min="6" max="6" width="20.7109375" style="4" hidden="1" customWidth="1"/>
    <col min="7" max="7" width="23.85546875" style="4" customWidth="1"/>
    <col min="8" max="8" width="18.7109375" style="4" customWidth="1"/>
    <col min="9" max="9" width="18.7109375" style="4" customWidth="1" outlineLevel="1"/>
    <col min="10" max="10" width="15.7109375" style="4" customWidth="1"/>
    <col min="11" max="11" width="11.42578125" style="4" customWidth="1"/>
    <col min="12" max="26" width="10.7109375" style="4" customWidth="1"/>
    <col min="27" max="16384" width="14.42578125" style="4"/>
  </cols>
  <sheetData>
    <row r="1" spans="1:26" ht="15" customHeight="1">
      <c r="A1" s="1"/>
      <c r="B1" s="1"/>
      <c r="C1" s="1"/>
      <c r="D1" s="1"/>
      <c r="E1" s="1"/>
      <c r="F1" s="1"/>
      <c r="G1" s="2"/>
      <c r="H1" s="1"/>
      <c r="I1" s="3"/>
      <c r="J1" s="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" customHeight="1">
      <c r="A2" s="268" t="str">
        <f>+NSG!A2:H2</f>
        <v>FONDO NSG MIPYME - INANDES FACTOR CAPITAL S.A.C.</v>
      </c>
      <c r="B2" s="269"/>
      <c r="C2" s="269"/>
      <c r="D2" s="269"/>
      <c r="E2" s="269"/>
      <c r="F2" s="269"/>
      <c r="G2" s="269"/>
      <c r="H2" s="269"/>
      <c r="I2" s="5"/>
      <c r="J2" s="5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" customHeight="1">
      <c r="A3" s="7"/>
      <c r="B3" s="7"/>
      <c r="C3" s="7"/>
      <c r="D3" s="7"/>
      <c r="E3" s="7"/>
      <c r="F3" s="7"/>
      <c r="G3" s="7"/>
      <c r="H3" s="7"/>
      <c r="I3" s="5"/>
      <c r="J3" s="5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8" t="s">
        <v>0</v>
      </c>
      <c r="B4" s="9"/>
      <c r="C4" s="10"/>
      <c r="D4" s="11"/>
      <c r="E4" s="12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8" t="s">
        <v>1</v>
      </c>
      <c r="B5" s="9"/>
      <c r="C5" s="13" t="str">
        <f>IF(+NSG!$C$5="","",+NSG!$C$5)</f>
        <v>TRANSPORTES SANTA FE DEL NORTE SAC</v>
      </c>
      <c r="D5" s="11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8" t="s">
        <v>2</v>
      </c>
      <c r="B6" s="9"/>
      <c r="C6" s="14">
        <f>IF(+NSG!$C$6="","",NSG!$C$6)</f>
        <v>20603718489</v>
      </c>
      <c r="D6" s="11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5" t="s">
        <v>3</v>
      </c>
      <c r="B7" s="9"/>
      <c r="C7" s="14" t="s">
        <v>4</v>
      </c>
      <c r="D7" s="11"/>
      <c r="E7" s="9"/>
      <c r="F7" s="9"/>
      <c r="G7" s="15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9.75" customHeight="1">
      <c r="A8" s="1"/>
      <c r="B8" s="16"/>
      <c r="C8" s="1"/>
      <c r="D8" s="1"/>
      <c r="E8" s="1"/>
      <c r="F8" s="1"/>
      <c r="G8" s="2"/>
      <c r="H8" s="1"/>
      <c r="I8" s="3"/>
      <c r="J8" s="9"/>
      <c r="K8" s="9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>
      <c r="A9" s="17"/>
      <c r="B9" s="18"/>
      <c r="C9" s="17"/>
      <c r="D9" s="19" t="str">
        <f>IF(NSG!$F$9="","PROPUESTA",+NSG!E9&amp;" "&amp;TEXT(NSG!$F$9,"00"))</f>
        <v>ANEXO 08</v>
      </c>
      <c r="E9" s="19" t="s">
        <v>5</v>
      </c>
      <c r="F9" s="270" t="str">
        <f>UPPER(TEXT(+NSG!$F$10,"DDDDD DD, MMM, YYYY"))</f>
        <v>JUEVES 05, JUN, 2025</v>
      </c>
      <c r="G9" s="270"/>
      <c r="H9" s="270"/>
      <c r="I9" s="20"/>
      <c r="J9" s="9"/>
      <c r="K9" s="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ht="12.75" customHeight="1" thickBot="1">
      <c r="A10" s="1"/>
      <c r="B10" s="16"/>
      <c r="C10" s="1"/>
      <c r="D10" s="1"/>
      <c r="E10" s="1"/>
      <c r="F10" s="3"/>
      <c r="G10" s="2"/>
      <c r="H10" s="3"/>
      <c r="I10" s="3"/>
      <c r="J10" s="9"/>
      <c r="K10" s="9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outlineLevel="1" thickBot="1">
      <c r="A11" s="1"/>
      <c r="B11" s="16"/>
      <c r="C11" s="271" t="s">
        <v>6</v>
      </c>
      <c r="D11" s="272"/>
      <c r="E11" s="272"/>
      <c r="F11" s="22">
        <f>+NSG!G12</f>
        <v>37.177692418364011</v>
      </c>
      <c r="G11" s="1"/>
      <c r="H11" s="1"/>
      <c r="I11" s="3"/>
      <c r="J11" s="9"/>
      <c r="K11" s="9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>
      <c r="A12" s="1"/>
      <c r="B12" s="1"/>
      <c r="C12" s="1"/>
      <c r="D12" s="1"/>
      <c r="E12" s="2"/>
      <c r="F12" s="1"/>
      <c r="G12" s="1"/>
      <c r="H12" s="23"/>
      <c r="I12" s="3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49.9" customHeight="1">
      <c r="A13" s="2"/>
      <c r="B13" s="24" t="s">
        <v>7</v>
      </c>
      <c r="C13" s="25" t="s">
        <v>8</v>
      </c>
      <c r="D13" s="25" t="s">
        <v>9</v>
      </c>
      <c r="E13" s="25" t="s">
        <v>10</v>
      </c>
      <c r="F13" s="24" t="s">
        <v>11</v>
      </c>
      <c r="G13" s="24" t="s">
        <v>12</v>
      </c>
      <c r="H13" s="26" t="str">
        <f>+NSG!$K$15</f>
        <v>MONTO NETO SOLES (PEN) / DOLARES (USD)</v>
      </c>
      <c r="I13" s="26" t="s">
        <v>13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33.75" customHeight="1">
      <c r="A14" s="27"/>
      <c r="B14" s="256">
        <f>IF(+NSG!$B16="","",+NSG!$B16)</f>
        <v>667</v>
      </c>
      <c r="C14" s="28">
        <f>IF(NSG!$E16="","",NSG!$E16)</f>
        <v>45863</v>
      </c>
      <c r="D14" s="28">
        <f>IF(NSG!$B16="","",+NSG!$F$10)</f>
        <v>45813</v>
      </c>
      <c r="E14" s="29">
        <f>IF(NSG!$F16="","",NSG!$F16)</f>
        <v>50</v>
      </c>
      <c r="F14" s="30" t="str">
        <f>+NSG!G16</f>
        <v>TRANSPORTES SANTA FE DEL NORTE SAC</v>
      </c>
      <c r="G14" s="30" t="str">
        <f>IF(NSG!$B16="","",+NSG!$H16)</f>
        <v>DANPER TRUJILLO SAC</v>
      </c>
      <c r="H14" s="31">
        <f>IF(NSG!$B16="","",+NSG!$K16)</f>
        <v>7906</v>
      </c>
      <c r="I14" s="260">
        <f>IF(NSG!$B16="","",+NSG!$L16)</f>
        <v>3.9969643308879345E-2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0" hidden="1" customHeight="1">
      <c r="A15" s="27"/>
      <c r="B15" s="256" t="str">
        <f>IF(+NSG!$B17="","",+NSG!$B17)</f>
        <v/>
      </c>
      <c r="C15" s="28" t="str">
        <f>IF(NSG!$E17="","",NSG!$E17)</f>
        <v/>
      </c>
      <c r="D15" s="28" t="str">
        <f>IF(NSG!$B17="","",+NSG!$F$10)</f>
        <v/>
      </c>
      <c r="E15" s="29" t="str">
        <f>IF(NSG!$F17="","",NSG!$F17)</f>
        <v/>
      </c>
      <c r="F15" s="30" t="str">
        <f>+NSG!G17</f>
        <v/>
      </c>
      <c r="G15" s="30" t="str">
        <f>IF(NSG!$B17="","",+NSG!$H17)</f>
        <v/>
      </c>
      <c r="H15" s="31" t="str">
        <f>IF(NSG!$B17="","",+NSG!$K17)</f>
        <v/>
      </c>
      <c r="I15" s="260" t="str">
        <f>IF(NSG!$B17="","",+NSG!$L17)</f>
        <v/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0" hidden="1" customHeight="1">
      <c r="A16" s="27"/>
      <c r="B16" s="256" t="str">
        <f>IF(+NSG!$B18="","",+NSG!$B18)</f>
        <v/>
      </c>
      <c r="C16" s="28" t="str">
        <f>IF(NSG!$E18="","",NSG!$E18)</f>
        <v/>
      </c>
      <c r="D16" s="28" t="str">
        <f>IF(NSG!$B18="","",+NSG!$F$10)</f>
        <v/>
      </c>
      <c r="E16" s="29" t="str">
        <f>IF(NSG!$F18="","",NSG!$F18)</f>
        <v/>
      </c>
      <c r="F16" s="30" t="str">
        <f>+NSG!G18</f>
        <v/>
      </c>
      <c r="G16" s="30" t="str">
        <f>IF(NSG!$B18="","",+NSG!$H18)</f>
        <v/>
      </c>
      <c r="H16" s="31" t="str">
        <f>IF(NSG!$B18="","",+NSG!$K18)</f>
        <v/>
      </c>
      <c r="I16" s="260" t="str">
        <f>IF(NSG!$B18="","",+NSG!$L18)</f>
        <v/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0" hidden="1" customHeight="1">
      <c r="A17" s="27"/>
      <c r="B17" s="256" t="str">
        <f>IF(+NSG!$B19="","",+NSG!$B19)</f>
        <v/>
      </c>
      <c r="C17" s="28" t="str">
        <f>IF(NSG!$E19="","",NSG!$E19)</f>
        <v/>
      </c>
      <c r="D17" s="28" t="str">
        <f>IF(NSG!$B19="","",+NSG!$F$10)</f>
        <v/>
      </c>
      <c r="E17" s="29" t="str">
        <f>IF(NSG!$F19="","",NSG!$F19)</f>
        <v/>
      </c>
      <c r="F17" s="30" t="str">
        <f>+NSG!G19</f>
        <v/>
      </c>
      <c r="G17" s="30" t="str">
        <f>IF(NSG!$B19="","",+NSG!$H19)</f>
        <v/>
      </c>
      <c r="H17" s="31" t="str">
        <f>IF(NSG!$B19="","",+NSG!$K19)</f>
        <v/>
      </c>
      <c r="I17" s="260" t="str">
        <f>IF(NSG!$B19="","",+NSG!$L19)</f>
        <v/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0" hidden="1" customHeight="1" outlineLevel="1">
      <c r="A18" s="27"/>
      <c r="B18" s="255" t="str">
        <f>IF(+NSG!$B20="","",+NSG!$B20)</f>
        <v/>
      </c>
      <c r="C18" s="28" t="str">
        <f>IF(NSG!$E20="","",NSG!$E20)</f>
        <v/>
      </c>
      <c r="D18" s="28" t="str">
        <f>IF(NSG!$B20="","",+NSG!$F$10)</f>
        <v/>
      </c>
      <c r="E18" s="29" t="str">
        <f>IF(NSG!$F20="","",NSG!$F20)</f>
        <v/>
      </c>
      <c r="F18" s="30" t="str">
        <f>+NSG!G20</f>
        <v/>
      </c>
      <c r="G18" s="30" t="str">
        <f>IF(NSG!$B20="","",+NSG!$H20)</f>
        <v/>
      </c>
      <c r="H18" s="31" t="str">
        <f>IF(NSG!$B20="","",+NSG!$K20)</f>
        <v/>
      </c>
      <c r="I18" s="260" t="str">
        <f>IF(NSG!$B20="","",+NSG!$L20)</f>
        <v/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hidden="1" customHeight="1" outlineLevel="1">
      <c r="A19" s="27"/>
      <c r="B19" s="253" t="str">
        <f>IF(+NSG!$B21="","",+NSG!$B21)</f>
        <v/>
      </c>
      <c r="C19" s="28" t="str">
        <f>IF(NSG!$E21="","",NSG!$E21)</f>
        <v/>
      </c>
      <c r="D19" s="28" t="str">
        <f>IF(NSG!$B21="","",+NSG!$F$10)</f>
        <v/>
      </c>
      <c r="E19" s="29" t="str">
        <f>IF(NSG!$F21="","",NSG!$F21)</f>
        <v/>
      </c>
      <c r="F19" s="30" t="str">
        <f>+NSG!G21</f>
        <v/>
      </c>
      <c r="G19" s="30" t="str">
        <f>IF(NSG!$B21="","",+NSG!$H21)</f>
        <v/>
      </c>
      <c r="H19" s="31" t="str">
        <f>IF(NSG!$B21="","",+NSG!$K21)</f>
        <v/>
      </c>
      <c r="I19" s="32" t="str">
        <f>IF(NSG!$B21="","",+NSG!$L21)</f>
        <v/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0" hidden="1" customHeight="1" outlineLevel="1">
      <c r="A20" s="27"/>
      <c r="B20" s="253" t="str">
        <f>IF(+NSG!$B22="","",+NSG!$B22)</f>
        <v/>
      </c>
      <c r="C20" s="28" t="str">
        <f>IF(NSG!$E22="","",NSG!$E22)</f>
        <v/>
      </c>
      <c r="D20" s="28" t="str">
        <f>IF(NSG!$B22="","",+NSG!$F$10)</f>
        <v/>
      </c>
      <c r="E20" s="29" t="str">
        <f>IF(NSG!$F22="","",NSG!$F22)</f>
        <v/>
      </c>
      <c r="F20" s="30" t="str">
        <f>+NSG!G22</f>
        <v/>
      </c>
      <c r="G20" s="30" t="str">
        <f>IF(NSG!$B22="","",+NSG!$H22)</f>
        <v/>
      </c>
      <c r="H20" s="31" t="str">
        <f>IF(NSG!$B22="","",+NSG!$K22)</f>
        <v/>
      </c>
      <c r="I20" s="32" t="str">
        <f>IF(NSG!$B22="","",+NSG!$L22)</f>
        <v/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hidden="1" customHeight="1" outlineLevel="1">
      <c r="A21" s="27"/>
      <c r="B21" s="253" t="str">
        <f>IF(+NSG!$B23="","",+NSG!$B23)</f>
        <v/>
      </c>
      <c r="C21" s="28" t="str">
        <f>IF(NSG!$E23="","",NSG!$E23)</f>
        <v/>
      </c>
      <c r="D21" s="28" t="str">
        <f>IF(NSG!$B23="","",+NSG!$F$10)</f>
        <v/>
      </c>
      <c r="E21" s="29" t="str">
        <f>IF(NSG!$F23="","",NSG!$F23)</f>
        <v/>
      </c>
      <c r="F21" s="30" t="str">
        <f>+NSG!G23</f>
        <v/>
      </c>
      <c r="G21" s="30" t="str">
        <f>IF(NSG!$B23="","",+NSG!$H23)</f>
        <v/>
      </c>
      <c r="H21" s="31" t="str">
        <f>IF(NSG!$B23="","",+NSG!$K23)</f>
        <v/>
      </c>
      <c r="I21" s="32" t="str">
        <f>IF(NSG!$B23="","",+NSG!$L23)</f>
        <v/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0" hidden="1" customHeight="1" outlineLevel="1">
      <c r="A22" s="27"/>
      <c r="B22" s="253" t="str">
        <f>IF(+NSG!$B24="","",+NSG!$B24)</f>
        <v/>
      </c>
      <c r="C22" s="28" t="str">
        <f>IF(NSG!$E24="","",NSG!$E24)</f>
        <v/>
      </c>
      <c r="D22" s="28" t="str">
        <f>IF(NSG!$B24="","",+NSG!$F$10)</f>
        <v/>
      </c>
      <c r="E22" s="29" t="str">
        <f>IF(NSG!$F24="","",NSG!$F24)</f>
        <v/>
      </c>
      <c r="F22" s="30" t="str">
        <f>+NSG!G24</f>
        <v/>
      </c>
      <c r="G22" s="30" t="str">
        <f>IF(NSG!$B24="","",+NSG!$H24)</f>
        <v/>
      </c>
      <c r="H22" s="31" t="str">
        <f>IF(NSG!$B24="","",+NSG!$K24)</f>
        <v/>
      </c>
      <c r="I22" s="32" t="str">
        <f>IF(NSG!$B24="","",+NSG!$L24)</f>
        <v/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hidden="1" customHeight="1" outlineLevel="1">
      <c r="A23" s="27"/>
      <c r="B23" s="253" t="str">
        <f>IF(+NSG!$B25="","",+NSG!$B25)</f>
        <v/>
      </c>
      <c r="C23" s="28" t="str">
        <f>IF(NSG!$E25="","",NSG!$E25)</f>
        <v/>
      </c>
      <c r="D23" s="28" t="str">
        <f>IF(NSG!$B25="","",+NSG!$F$10)</f>
        <v/>
      </c>
      <c r="E23" s="29" t="str">
        <f>IF(NSG!$F25="","",NSG!$F25)</f>
        <v/>
      </c>
      <c r="F23" s="30" t="str">
        <f>+NSG!G25</f>
        <v/>
      </c>
      <c r="G23" s="30" t="str">
        <f>IF(NSG!$B25="","",+NSG!$H25)</f>
        <v/>
      </c>
      <c r="H23" s="31" t="str">
        <f>IF(NSG!$B25="","",+NSG!$K25)</f>
        <v/>
      </c>
      <c r="I23" s="32" t="str">
        <f>IF(NSG!$B25="","",+NSG!$L25)</f>
        <v/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" hidden="1" customHeight="1" outlineLevel="1">
      <c r="A24" s="27"/>
      <c r="B24" s="253" t="str">
        <f>IF(+NSG!$B26="","",+NSG!$B26)</f>
        <v/>
      </c>
      <c r="C24" s="28" t="str">
        <f>IF(NSG!$E26="","",NSG!$E26)</f>
        <v/>
      </c>
      <c r="D24" s="28" t="str">
        <f>IF(NSG!$B26="","",+NSG!$F$10)</f>
        <v/>
      </c>
      <c r="E24" s="29" t="str">
        <f>IF(NSG!$F26="","",NSG!$F26)</f>
        <v/>
      </c>
      <c r="F24" s="30" t="str">
        <f>+NSG!G26</f>
        <v/>
      </c>
      <c r="G24" s="30" t="str">
        <f>IF(NSG!$B26="","",+NSG!$H26)</f>
        <v/>
      </c>
      <c r="H24" s="31" t="str">
        <f>IF(NSG!$B26="","",+NSG!$K26)</f>
        <v/>
      </c>
      <c r="I24" s="32" t="str">
        <f>IF(NSG!$B26="","",+NSG!$L26)</f>
        <v/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0" hidden="1" customHeight="1" outlineLevel="1">
      <c r="A25" s="27"/>
      <c r="B25" s="253" t="str">
        <f>IF(+NSG!$B27="","",+NSG!$B27)</f>
        <v/>
      </c>
      <c r="C25" s="28" t="str">
        <f>IF(NSG!$E27="","",NSG!$E27)</f>
        <v/>
      </c>
      <c r="D25" s="28" t="str">
        <f>IF(NSG!$B27="","",+NSG!$F$10)</f>
        <v/>
      </c>
      <c r="E25" s="29" t="str">
        <f>IF(NSG!$F27="","",NSG!$F27)</f>
        <v/>
      </c>
      <c r="F25" s="30" t="str">
        <f>+NSG!G27</f>
        <v/>
      </c>
      <c r="G25" s="30" t="str">
        <f>IF(NSG!$B27="","",+NSG!$H27)</f>
        <v/>
      </c>
      <c r="H25" s="31" t="str">
        <f>IF(NSG!$B27="","",+NSG!$K27)</f>
        <v/>
      </c>
      <c r="I25" s="32" t="str">
        <f>IF(NSG!$B27="","",+NSG!$L27)</f>
        <v/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0" hidden="1" customHeight="1" outlineLevel="1">
      <c r="A26" s="27"/>
      <c r="B26" s="253" t="str">
        <f>IF(+NSG!$B28="","",+NSG!$B28)</f>
        <v/>
      </c>
      <c r="C26" s="28" t="str">
        <f>IF(NSG!$E28="","",NSG!$E28)</f>
        <v/>
      </c>
      <c r="D26" s="28" t="str">
        <f>IF(NSG!$B28="","",+NSG!$F$10)</f>
        <v/>
      </c>
      <c r="E26" s="29" t="str">
        <f>IF(NSG!$F28="","",NSG!$F28)</f>
        <v/>
      </c>
      <c r="F26" s="30" t="str">
        <f>+NSG!G28</f>
        <v/>
      </c>
      <c r="G26" s="30" t="str">
        <f>IF(NSG!$B28="","",+NSG!$H28)</f>
        <v/>
      </c>
      <c r="H26" s="31" t="str">
        <f>IF(NSG!$B28="","",+NSG!$K28)</f>
        <v/>
      </c>
      <c r="I26" s="32" t="str">
        <f>IF(NSG!$B28="","",+NSG!$L28)</f>
        <v/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0" hidden="1" customHeight="1" outlineLevel="1">
      <c r="A27" s="27"/>
      <c r="B27" s="253" t="str">
        <f>IF(+NSG!$B29="","",+NSG!$B29)</f>
        <v/>
      </c>
      <c r="C27" s="28" t="str">
        <f>IF(NSG!$E29="","",NSG!$E29)</f>
        <v/>
      </c>
      <c r="D27" s="28" t="str">
        <f>IF(NSG!$B29="","",+NSG!$F$10)</f>
        <v/>
      </c>
      <c r="E27" s="29" t="str">
        <f>IF(NSG!$F29="","",NSG!$F29)</f>
        <v/>
      </c>
      <c r="F27" s="30" t="str">
        <f>+NSG!G29</f>
        <v/>
      </c>
      <c r="G27" s="30" t="str">
        <f>IF(NSG!$B29="","",+NSG!$H29)</f>
        <v/>
      </c>
      <c r="H27" s="31" t="str">
        <f>IF(NSG!$B29="","",+NSG!$K29)</f>
        <v/>
      </c>
      <c r="I27" s="32" t="str">
        <f>IF(NSG!$B29="","",+NSG!$L29)</f>
        <v/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0" hidden="1" customHeight="1" outlineLevel="1">
      <c r="A28" s="27"/>
      <c r="B28" s="253" t="str">
        <f>IF(+NSG!$B30="","",+NSG!$B30)</f>
        <v/>
      </c>
      <c r="C28" s="28" t="str">
        <f>IF(NSG!$E30="","",NSG!$E30)</f>
        <v/>
      </c>
      <c r="D28" s="28" t="str">
        <f>IF(NSG!$B30="","",+NSG!$F$10)</f>
        <v/>
      </c>
      <c r="E28" s="29" t="str">
        <f>IF(NSG!$F30="","",NSG!$F30)</f>
        <v/>
      </c>
      <c r="F28" s="30" t="str">
        <f>+NSG!G30</f>
        <v/>
      </c>
      <c r="G28" s="30" t="str">
        <f>IF(NSG!$B30="","",+NSG!$H30)</f>
        <v/>
      </c>
      <c r="H28" s="31" t="str">
        <f>IF(NSG!$B30="","",+NSG!$K30)</f>
        <v/>
      </c>
      <c r="I28" s="32" t="str">
        <f>IF(NSG!$B30="","",+NSG!$L30)</f>
        <v/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0" hidden="1" customHeight="1" outlineLevel="1">
      <c r="A29" s="27"/>
      <c r="B29" s="253" t="str">
        <f>IF(+NSG!$B31="","",+NSG!$B31)</f>
        <v/>
      </c>
      <c r="C29" s="28" t="str">
        <f>IF(NSG!$E31="","",NSG!$E31)</f>
        <v/>
      </c>
      <c r="D29" s="28" t="str">
        <f>IF(NSG!$B31="","",+NSG!$F$10)</f>
        <v/>
      </c>
      <c r="E29" s="29" t="str">
        <f>IF(NSG!$F31="","",NSG!$F31)</f>
        <v/>
      </c>
      <c r="F29" s="30" t="str">
        <f>+NSG!G31</f>
        <v/>
      </c>
      <c r="G29" s="30" t="str">
        <f>IF(NSG!$B31="","",+NSG!$H31)</f>
        <v/>
      </c>
      <c r="H29" s="31" t="str">
        <f>IF(NSG!$B31="","",+NSG!$K31)</f>
        <v/>
      </c>
      <c r="I29" s="32" t="str">
        <f>IF(NSG!$B31="","",+NSG!$L31)</f>
        <v/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0" hidden="1" customHeight="1" outlineLevel="1">
      <c r="A30" s="27"/>
      <c r="B30" s="253" t="str">
        <f>IF(+NSG!$B32="","",+NSG!$B32)</f>
        <v/>
      </c>
      <c r="C30" s="28" t="str">
        <f>IF(NSG!$E32="","",NSG!$E32)</f>
        <v/>
      </c>
      <c r="D30" s="28" t="str">
        <f>IF(NSG!$B32="","",+NSG!$F$10)</f>
        <v/>
      </c>
      <c r="E30" s="29" t="str">
        <f>IF(NSG!$F32="","",NSG!$F32)</f>
        <v/>
      </c>
      <c r="F30" s="30" t="str">
        <f>+NSG!G32</f>
        <v/>
      </c>
      <c r="G30" s="30" t="str">
        <f>IF(NSG!$B32="","",+NSG!$H32)</f>
        <v/>
      </c>
      <c r="H30" s="31" t="str">
        <f>IF(NSG!$B32="","",+NSG!$K32)</f>
        <v/>
      </c>
      <c r="I30" s="32" t="str">
        <f>IF(NSG!$B32="","",+NSG!$L32)</f>
        <v/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0" hidden="1" customHeight="1" outlineLevel="1">
      <c r="A31" s="27"/>
      <c r="B31" s="253" t="str">
        <f>IF(+NSG!$B33="","",+NSG!$B33)</f>
        <v/>
      </c>
      <c r="C31" s="28" t="str">
        <f>IF(NSG!$E33="","",NSG!$E33)</f>
        <v/>
      </c>
      <c r="D31" s="28" t="str">
        <f>IF(NSG!$B33="","",+NSG!$F$10)</f>
        <v/>
      </c>
      <c r="E31" s="29" t="str">
        <f>IF(NSG!$F33="","",NSG!$F33)</f>
        <v/>
      </c>
      <c r="F31" s="30" t="str">
        <f>+NSG!G33</f>
        <v/>
      </c>
      <c r="G31" s="30" t="str">
        <f>IF(NSG!$B33="","",+NSG!$H33)</f>
        <v/>
      </c>
      <c r="H31" s="31" t="str">
        <f>IF(NSG!$B33="","",+NSG!$K33)</f>
        <v/>
      </c>
      <c r="I31" s="32" t="str">
        <f>IF(NSG!$B33="","",+NSG!$L33)</f>
        <v/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0" hidden="1" customHeight="1" outlineLevel="1">
      <c r="A32" s="27"/>
      <c r="B32" s="253" t="str">
        <f>IF(+NSG!$B34="","",+NSG!$B34)</f>
        <v/>
      </c>
      <c r="C32" s="28" t="str">
        <f>IF(NSG!$E34="","",NSG!$E34)</f>
        <v/>
      </c>
      <c r="D32" s="28" t="str">
        <f>IF(NSG!$B34="","",+NSG!$F$10)</f>
        <v/>
      </c>
      <c r="E32" s="29" t="str">
        <f>IF(NSG!$F34="","",NSG!$F34)</f>
        <v/>
      </c>
      <c r="F32" s="30" t="str">
        <f>+NSG!G34</f>
        <v/>
      </c>
      <c r="G32" s="30" t="str">
        <f>IF(NSG!$B34="","",+NSG!$H34)</f>
        <v/>
      </c>
      <c r="H32" s="31" t="str">
        <f>IF(NSG!$B34="","",+NSG!$K34)</f>
        <v/>
      </c>
      <c r="I32" s="32" t="str">
        <f>IF(NSG!$B34="","",+NSG!$L34)</f>
        <v/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0" hidden="1" customHeight="1" outlineLevel="1">
      <c r="A33" s="27"/>
      <c r="B33" s="253" t="str">
        <f>IF(+NSG!$B35="","",+NSG!$B35)</f>
        <v/>
      </c>
      <c r="C33" s="28" t="str">
        <f>IF(NSG!$E35="","",NSG!$E35)</f>
        <v/>
      </c>
      <c r="D33" s="28" t="str">
        <f>IF(NSG!$B35="","",+NSG!$F$10)</f>
        <v/>
      </c>
      <c r="E33" s="29" t="str">
        <f>IF(NSG!$F35="","",NSG!$F35)</f>
        <v/>
      </c>
      <c r="F33" s="30" t="str">
        <f>+NSG!G35</f>
        <v/>
      </c>
      <c r="G33" s="30" t="str">
        <f>IF(NSG!$B35="","",+NSG!$H35)</f>
        <v/>
      </c>
      <c r="H33" s="31" t="str">
        <f>IF(NSG!$B35="","",+NSG!$K35)</f>
        <v/>
      </c>
      <c r="I33" s="32" t="str">
        <f>IF(NSG!$B35="","",+NSG!$L35)</f>
        <v/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0" hidden="1" customHeight="1" outlineLevel="1">
      <c r="A34" s="27"/>
      <c r="B34" s="253" t="str">
        <f>IF(+NSG!$B36="","",+NSG!$B36)</f>
        <v/>
      </c>
      <c r="C34" s="28" t="str">
        <f>IF(NSG!$E36="","",NSG!$E36)</f>
        <v/>
      </c>
      <c r="D34" s="28" t="str">
        <f>IF(NSG!$B36="","",+NSG!$F$10)</f>
        <v/>
      </c>
      <c r="E34" s="29" t="str">
        <f>IF(NSG!$F36="","",NSG!$F36)</f>
        <v/>
      </c>
      <c r="F34" s="30" t="str">
        <f>+NSG!G36</f>
        <v/>
      </c>
      <c r="G34" s="30" t="str">
        <f>IF(NSG!$B36="","",+NSG!$H36)</f>
        <v/>
      </c>
      <c r="H34" s="31" t="str">
        <f>IF(NSG!$B36="","",+NSG!$K36)</f>
        <v/>
      </c>
      <c r="I34" s="32" t="str">
        <f>IF(NSG!$B36="","",+NSG!$L36)</f>
        <v/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0" hidden="1" customHeight="1" outlineLevel="1">
      <c r="A35" s="27"/>
      <c r="B35" s="253" t="str">
        <f>IF(+NSG!$B37="","",+NSG!$B37)</f>
        <v/>
      </c>
      <c r="C35" s="28" t="str">
        <f>IF(NSG!$E37="","",NSG!$E37)</f>
        <v/>
      </c>
      <c r="D35" s="28" t="str">
        <f>IF(NSG!$B37="","",+NSG!$F$10)</f>
        <v/>
      </c>
      <c r="E35" s="29" t="str">
        <f>IF(NSG!$F37="","",NSG!$F37)</f>
        <v/>
      </c>
      <c r="F35" s="30" t="str">
        <f>+NSG!G37</f>
        <v/>
      </c>
      <c r="G35" s="30" t="str">
        <f>IF(NSG!$B37="","",+NSG!$H37)</f>
        <v/>
      </c>
      <c r="H35" s="31" t="str">
        <f>IF(NSG!$B37="","",+NSG!$K37)</f>
        <v/>
      </c>
      <c r="I35" s="32" t="str">
        <f>IF(NSG!$B37="","",+NSG!$L37)</f>
        <v/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0" hidden="1" customHeight="1" outlineLevel="1">
      <c r="A36" s="27"/>
      <c r="B36" s="253" t="str">
        <f>IF(+NSG!$B38="","",+NSG!$B38)</f>
        <v/>
      </c>
      <c r="C36" s="28" t="str">
        <f>IF(NSG!$E38="","",NSG!$E38)</f>
        <v/>
      </c>
      <c r="D36" s="28" t="str">
        <f>IF(NSG!$B38="","",+NSG!$F$10)</f>
        <v/>
      </c>
      <c r="E36" s="29" t="str">
        <f>IF(NSG!$F38="","",NSG!$F38)</f>
        <v/>
      </c>
      <c r="F36" s="30" t="str">
        <f>+NSG!G38</f>
        <v/>
      </c>
      <c r="G36" s="30" t="str">
        <f>IF(NSG!$B38="","",+NSG!$H38)</f>
        <v/>
      </c>
      <c r="H36" s="31" t="str">
        <f>IF(NSG!$B38="","",+NSG!$K38)</f>
        <v/>
      </c>
      <c r="I36" s="32" t="str">
        <f>IF(NSG!$B38="","",+NSG!$L38)</f>
        <v/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0" hidden="1" customHeight="1" outlineLevel="1">
      <c r="A37" s="27"/>
      <c r="B37" s="253" t="str">
        <f>IF(+NSG!$B39="","",+NSG!$B39)</f>
        <v/>
      </c>
      <c r="C37" s="28" t="str">
        <f>IF(NSG!$E39="","",NSG!$E39)</f>
        <v/>
      </c>
      <c r="D37" s="28" t="str">
        <f>IF(NSG!$B39="","",+NSG!$F$10)</f>
        <v/>
      </c>
      <c r="E37" s="29" t="str">
        <f>IF(NSG!$F39="","",NSG!$F39)</f>
        <v/>
      </c>
      <c r="F37" s="30" t="str">
        <f>+NSG!G39</f>
        <v/>
      </c>
      <c r="G37" s="30" t="str">
        <f>IF(NSG!$B39="","",+NSG!$H39)</f>
        <v/>
      </c>
      <c r="H37" s="31" t="str">
        <f>IF(NSG!$B39="","",+NSG!$K39)</f>
        <v/>
      </c>
      <c r="I37" s="32" t="str">
        <f>IF(NSG!$B39="","",+NSG!$L39)</f>
        <v/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0" hidden="1" customHeight="1" outlineLevel="1">
      <c r="A38" s="27"/>
      <c r="B38" s="253" t="str">
        <f>IF(+NSG!$B40="","",+NSG!$B40)</f>
        <v/>
      </c>
      <c r="C38" s="28" t="str">
        <f>IF(NSG!$E40="","",NSG!$E40)</f>
        <v/>
      </c>
      <c r="D38" s="28" t="str">
        <f>IF(NSG!$B40="","",+NSG!$F$10)</f>
        <v/>
      </c>
      <c r="E38" s="29" t="str">
        <f>IF(NSG!$F40="","",NSG!$F40)</f>
        <v/>
      </c>
      <c r="F38" s="30" t="str">
        <f>+NSG!G40</f>
        <v/>
      </c>
      <c r="G38" s="30" t="str">
        <f>IF(NSG!$B40="","",+NSG!$H40)</f>
        <v/>
      </c>
      <c r="H38" s="31" t="str">
        <f>IF(NSG!$B40="","",+NSG!$K40)</f>
        <v/>
      </c>
      <c r="I38" s="32" t="str">
        <f>IF(NSG!$B40="","",+NSG!$L40)</f>
        <v/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0" hidden="1" customHeight="1" outlineLevel="1">
      <c r="A39" s="27"/>
      <c r="B39" s="253" t="str">
        <f>IF(+NSG!$B41="","",+NSG!$B41)</f>
        <v/>
      </c>
      <c r="C39" s="28" t="str">
        <f>IF(NSG!$E41="","",NSG!$E41)</f>
        <v/>
      </c>
      <c r="D39" s="28" t="str">
        <f>IF(NSG!$B41="","",+NSG!$F$10)</f>
        <v/>
      </c>
      <c r="E39" s="29" t="str">
        <f>IF(NSG!$F41="","",NSG!$F41)</f>
        <v/>
      </c>
      <c r="F39" s="30" t="str">
        <f>+NSG!G41</f>
        <v/>
      </c>
      <c r="G39" s="30" t="str">
        <f>IF(NSG!$B41="","",+NSG!$H41)</f>
        <v/>
      </c>
      <c r="H39" s="31" t="str">
        <f>IF(NSG!$B41="","",+NSG!$K41)</f>
        <v/>
      </c>
      <c r="I39" s="32" t="str">
        <f>IF(NSG!$B41="","",+NSG!$L41)</f>
        <v/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0" hidden="1" customHeight="1" outlineLevel="1">
      <c r="A40" s="27"/>
      <c r="B40" s="253" t="str">
        <f>IF(+NSG!$B42="","",+NSG!$B42)</f>
        <v/>
      </c>
      <c r="C40" s="28" t="str">
        <f>IF(NSG!$E42="","",NSG!$E42)</f>
        <v/>
      </c>
      <c r="D40" s="28" t="str">
        <f>IF(NSG!$B42="","",+NSG!$F$10)</f>
        <v/>
      </c>
      <c r="E40" s="29" t="str">
        <f>IF(NSG!$F42="","",NSG!$F42)</f>
        <v/>
      </c>
      <c r="F40" s="30" t="str">
        <f>+NSG!G42</f>
        <v/>
      </c>
      <c r="G40" s="30" t="str">
        <f>IF(NSG!$B42="","",+NSG!$H42)</f>
        <v/>
      </c>
      <c r="H40" s="31" t="str">
        <f>IF(NSG!$B42="","",+NSG!$K42)</f>
        <v/>
      </c>
      <c r="I40" s="32" t="str">
        <f>IF(NSG!$B42="","",+NSG!$L42)</f>
        <v/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0" hidden="1" customHeight="1" outlineLevel="1">
      <c r="A41" s="27"/>
      <c r="B41" s="253" t="str">
        <f>IF(+NSG!$B43="","",+NSG!$B43)</f>
        <v/>
      </c>
      <c r="C41" s="28" t="str">
        <f>IF(NSG!$E43="","",NSG!$E43)</f>
        <v/>
      </c>
      <c r="D41" s="28" t="str">
        <f>IF(NSG!$B43="","",+NSG!$F$10)</f>
        <v/>
      </c>
      <c r="E41" s="29" t="str">
        <f>IF(NSG!$F43="","",NSG!$F43)</f>
        <v/>
      </c>
      <c r="F41" s="30" t="str">
        <f>+NSG!G43</f>
        <v/>
      </c>
      <c r="G41" s="30" t="str">
        <f>IF(NSG!$B43="","",+NSG!$H43)</f>
        <v/>
      </c>
      <c r="H41" s="31" t="str">
        <f>IF(NSG!$B43="","",+NSG!$K43)</f>
        <v/>
      </c>
      <c r="I41" s="32" t="str">
        <f>IF(NSG!$B43="","",+NSG!$L43)</f>
        <v/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0" hidden="1" customHeight="1" outlineLevel="1">
      <c r="A42" s="27"/>
      <c r="B42" s="253" t="str">
        <f>IF(+NSG!$B44="","",+NSG!$B44)</f>
        <v/>
      </c>
      <c r="C42" s="28" t="str">
        <f>IF(NSG!$E44="","",NSG!$E44)</f>
        <v/>
      </c>
      <c r="D42" s="28" t="str">
        <f>IF(NSG!$B44="","",+NSG!$F$10)</f>
        <v/>
      </c>
      <c r="E42" s="29" t="str">
        <f>IF(NSG!$F44="","",NSG!$F44)</f>
        <v/>
      </c>
      <c r="F42" s="30" t="str">
        <f>+NSG!G44</f>
        <v/>
      </c>
      <c r="G42" s="30" t="str">
        <f>IF(NSG!$B44="","",+NSG!$H44)</f>
        <v/>
      </c>
      <c r="H42" s="31" t="str">
        <f>IF(NSG!$B44="","",+NSG!$K44)</f>
        <v/>
      </c>
      <c r="I42" s="32" t="str">
        <f>IF(NSG!$B44="","",+NSG!$L44)</f>
        <v/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0" hidden="1" customHeight="1" outlineLevel="1">
      <c r="A43" s="27"/>
      <c r="B43" s="253" t="str">
        <f>IF(+NSG!$B45="","",+NSG!$B45)</f>
        <v/>
      </c>
      <c r="C43" s="28" t="str">
        <f>IF(NSG!$E45="","",NSG!$E45)</f>
        <v/>
      </c>
      <c r="D43" s="28" t="str">
        <f>IF(NSG!$B45="","",+NSG!$F$10)</f>
        <v/>
      </c>
      <c r="E43" s="29" t="str">
        <f>IF(NSG!$F45="","",NSG!$F45)</f>
        <v/>
      </c>
      <c r="F43" s="30" t="str">
        <f>+NSG!G45</f>
        <v/>
      </c>
      <c r="G43" s="30" t="str">
        <f>IF(NSG!$B45="","",+NSG!$H45)</f>
        <v/>
      </c>
      <c r="H43" s="31" t="str">
        <f>IF(NSG!$B45="","",+NSG!$K45)</f>
        <v/>
      </c>
      <c r="I43" s="32" t="str">
        <f>IF(NSG!$B45="","",+NSG!$L45)</f>
        <v/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0" hidden="1" customHeight="1" outlineLevel="1">
      <c r="A44" s="27"/>
      <c r="B44" s="253" t="str">
        <f>IF(+NSG!$B46="","",+NSG!$B46)</f>
        <v/>
      </c>
      <c r="C44" s="28" t="str">
        <f>IF(NSG!$E46="","",NSG!$E46)</f>
        <v/>
      </c>
      <c r="D44" s="28" t="str">
        <f>IF(NSG!$B46="","",+NSG!$F$10)</f>
        <v/>
      </c>
      <c r="E44" s="29" t="str">
        <f>IF(NSG!$F46="","",NSG!$F46)</f>
        <v/>
      </c>
      <c r="F44" s="30" t="str">
        <f>+NSG!G46</f>
        <v/>
      </c>
      <c r="G44" s="30" t="str">
        <f>IF(NSG!$B46="","",+NSG!$H46)</f>
        <v/>
      </c>
      <c r="H44" s="31" t="str">
        <f>IF(NSG!$B46="","",+NSG!$K46)</f>
        <v/>
      </c>
      <c r="I44" s="32" t="str">
        <f>IF(NSG!$B46="","",+NSG!$L46)</f>
        <v/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0" hidden="1" customHeight="1" outlineLevel="1">
      <c r="A45" s="27"/>
      <c r="B45" s="253" t="str">
        <f>IF(+NSG!$B47="","",+NSG!$B47)</f>
        <v/>
      </c>
      <c r="C45" s="28" t="str">
        <f>IF(NSG!$E47="","",NSG!$E47)</f>
        <v/>
      </c>
      <c r="D45" s="28" t="str">
        <f>IF(NSG!$B47="","",+NSG!$F$10)</f>
        <v/>
      </c>
      <c r="E45" s="29" t="str">
        <f>IF(NSG!$F47="","",NSG!$F47)</f>
        <v/>
      </c>
      <c r="F45" s="30" t="str">
        <f>+NSG!G47</f>
        <v/>
      </c>
      <c r="G45" s="30" t="str">
        <f>IF(NSG!$B47="","",+NSG!$H47)</f>
        <v/>
      </c>
      <c r="H45" s="31" t="str">
        <f>IF(NSG!$B47="","",+NSG!$K47)</f>
        <v/>
      </c>
      <c r="I45" s="32" t="str">
        <f>IF(NSG!$B47="","",+NSG!$L47)</f>
        <v/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0" hidden="1" customHeight="1" outlineLevel="1">
      <c r="A46" s="27"/>
      <c r="B46" s="253" t="str">
        <f>IF(+NSG!$B48="","",+NSG!$B48)</f>
        <v/>
      </c>
      <c r="C46" s="28" t="str">
        <f>IF(NSG!$E48="","",NSG!$E48)</f>
        <v/>
      </c>
      <c r="D46" s="28" t="str">
        <f>IF(NSG!$B48="","",+NSG!$F$10)</f>
        <v/>
      </c>
      <c r="E46" s="29" t="str">
        <f>IF(NSG!$F48="","",NSG!$F48)</f>
        <v/>
      </c>
      <c r="F46" s="30" t="str">
        <f>+NSG!G48</f>
        <v/>
      </c>
      <c r="G46" s="30" t="str">
        <f>IF(NSG!$B48="","",+NSG!$H48)</f>
        <v/>
      </c>
      <c r="H46" s="31" t="str">
        <f>IF(NSG!$B48="","",+NSG!$K48)</f>
        <v/>
      </c>
      <c r="I46" s="32" t="str">
        <f>IF(NSG!$B48="","",+NSG!$L48)</f>
        <v/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0" hidden="1" customHeight="1" outlineLevel="1">
      <c r="A47" s="27"/>
      <c r="B47" s="253" t="str">
        <f>IF(+NSG!$B49="","",+NSG!$B49)</f>
        <v/>
      </c>
      <c r="C47" s="28" t="str">
        <f>IF(NSG!$E49="","",NSG!$E49)</f>
        <v/>
      </c>
      <c r="D47" s="28" t="str">
        <f>IF(NSG!$B49="","",+NSG!$F$10)</f>
        <v/>
      </c>
      <c r="E47" s="29" t="str">
        <f>IF(NSG!$F49="","",NSG!$F49)</f>
        <v/>
      </c>
      <c r="F47" s="30" t="str">
        <f>+NSG!G49</f>
        <v/>
      </c>
      <c r="G47" s="30" t="str">
        <f>IF(NSG!$B49="","",+NSG!$H49)</f>
        <v/>
      </c>
      <c r="H47" s="31" t="str">
        <f>IF(NSG!$B49="","",+NSG!$K49)</f>
        <v/>
      </c>
      <c r="I47" s="32" t="str">
        <f>IF(NSG!$B49="","",+NSG!$L49)</f>
        <v/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0" hidden="1" customHeight="1" outlineLevel="1">
      <c r="A48" s="27"/>
      <c r="B48" s="253" t="str">
        <f>IF(+NSG!$B50="","",+NSG!$B50)</f>
        <v/>
      </c>
      <c r="C48" s="28" t="str">
        <f>IF(NSG!$E50="","",NSG!$E50)</f>
        <v/>
      </c>
      <c r="D48" s="28" t="str">
        <f>IF(NSG!$B50="","",+NSG!$F$10)</f>
        <v/>
      </c>
      <c r="E48" s="29" t="str">
        <f>IF(NSG!$F50="","",NSG!$F50)</f>
        <v/>
      </c>
      <c r="F48" s="30" t="str">
        <f>+NSG!G50</f>
        <v/>
      </c>
      <c r="G48" s="30" t="str">
        <f>IF(NSG!$B50="","",+NSG!$H50)</f>
        <v/>
      </c>
      <c r="H48" s="31" t="str">
        <f>IF(NSG!$B50="","",+NSG!$K50)</f>
        <v/>
      </c>
      <c r="I48" s="32" t="str">
        <f>IF(NSG!$B50="","",+NSG!$L50)</f>
        <v/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0" hidden="1" customHeight="1" outlineLevel="1">
      <c r="A49" s="27"/>
      <c r="B49" s="253" t="str">
        <f>IF(+NSG!$B51="","",+NSG!$B51)</f>
        <v/>
      </c>
      <c r="C49" s="28" t="str">
        <f>IF(NSG!$E51="","",NSG!$E51)</f>
        <v/>
      </c>
      <c r="D49" s="28" t="str">
        <f>IF(NSG!$B51="","",+NSG!$F$10)</f>
        <v/>
      </c>
      <c r="E49" s="29" t="str">
        <f>IF(NSG!$F51="","",NSG!$F51)</f>
        <v/>
      </c>
      <c r="F49" s="30" t="str">
        <f>+NSG!G51</f>
        <v/>
      </c>
      <c r="G49" s="30" t="str">
        <f>IF(NSG!$B51="","",+NSG!$H51)</f>
        <v/>
      </c>
      <c r="H49" s="31" t="str">
        <f>IF(NSG!$B51="","",+NSG!$K51)</f>
        <v/>
      </c>
      <c r="I49" s="32" t="str">
        <f>IF(NSG!$B51="","",+NSG!$L51)</f>
        <v/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0" hidden="1" customHeight="1" outlineLevel="1">
      <c r="A50" s="27"/>
      <c r="B50" s="253" t="str">
        <f>IF(+NSG!$B52="","",+NSG!$B52)</f>
        <v/>
      </c>
      <c r="C50" s="28" t="str">
        <f>IF(NSG!$E52="","",NSG!$E52)</f>
        <v/>
      </c>
      <c r="D50" s="28" t="str">
        <f>IF(NSG!$B52="","",+NSG!$F$10)</f>
        <v/>
      </c>
      <c r="E50" s="29" t="str">
        <f>IF(NSG!$F52="","",NSG!$F52)</f>
        <v/>
      </c>
      <c r="F50" s="30" t="str">
        <f>+NSG!G52</f>
        <v/>
      </c>
      <c r="G50" s="30" t="str">
        <f>IF(NSG!$B52="","",+NSG!$H52)</f>
        <v/>
      </c>
      <c r="H50" s="31" t="str">
        <f>IF(NSG!$B52="","",+NSG!$K52)</f>
        <v/>
      </c>
      <c r="I50" s="32" t="str">
        <f>IF(NSG!$B52="","",+NSG!$L52)</f>
        <v/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0" hidden="1" customHeight="1" outlineLevel="1">
      <c r="A51" s="27"/>
      <c r="B51" s="253" t="str">
        <f>IF(+NSG!$B53="","",+NSG!$B53)</f>
        <v/>
      </c>
      <c r="C51" s="28" t="str">
        <f>IF(NSG!$E53="","",NSG!$E53)</f>
        <v/>
      </c>
      <c r="D51" s="28" t="str">
        <f>IF(NSG!$B53="","",+NSG!$F$10)</f>
        <v/>
      </c>
      <c r="E51" s="29" t="str">
        <f>IF(NSG!$F53="","",NSG!$F53)</f>
        <v/>
      </c>
      <c r="F51" s="30" t="str">
        <f>+NSG!G53</f>
        <v/>
      </c>
      <c r="G51" s="30" t="str">
        <f>IF(NSG!$B53="","",+NSG!$H53)</f>
        <v/>
      </c>
      <c r="H51" s="31" t="str">
        <f>IF(NSG!$B53="","",+NSG!$K53)</f>
        <v/>
      </c>
      <c r="I51" s="32" t="str">
        <f>IF(NSG!$B53="","",+NSG!$L53)</f>
        <v/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0" customHeight="1" collapsed="1">
      <c r="A52" s="1"/>
      <c r="B52" s="1"/>
      <c r="C52" s="33"/>
      <c r="D52" s="34"/>
      <c r="E52" s="35"/>
      <c r="F52" s="36"/>
      <c r="G52" s="37" t="s">
        <v>14</v>
      </c>
      <c r="H52" s="38">
        <f>SUM(H14:H51)</f>
        <v>7906</v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0" customHeight="1">
      <c r="A53" s="1"/>
      <c r="B53" s="1"/>
      <c r="C53" s="1"/>
      <c r="D53" s="34"/>
      <c r="E53" s="35"/>
      <c r="F53" s="36"/>
      <c r="G53" s="39" t="s">
        <v>15</v>
      </c>
      <c r="H53" s="40">
        <f>SUMPRODUCT(H14:H51,I14:I51)</f>
        <v>316.00000000000011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0" customHeight="1">
      <c r="A54" s="1"/>
      <c r="B54" s="1"/>
      <c r="C54" s="1"/>
      <c r="D54" s="34"/>
      <c r="E54" s="35"/>
      <c r="F54" s="36"/>
      <c r="G54" s="41" t="s">
        <v>16</v>
      </c>
      <c r="H54" s="38">
        <f>+H52-H53</f>
        <v>7590</v>
      </c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34"/>
      <c r="D55" s="34"/>
      <c r="E55" s="42"/>
      <c r="F55" s="42"/>
      <c r="G55" s="34"/>
      <c r="H55" s="43"/>
      <c r="I55" s="1"/>
      <c r="J55" s="3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24" t="s">
        <v>7</v>
      </c>
      <c r="C56" s="25" t="s">
        <v>17</v>
      </c>
      <c r="D56" s="25" t="s">
        <v>18</v>
      </c>
      <c r="E56" s="25" t="s">
        <v>19</v>
      </c>
      <c r="F56" s="25" t="s">
        <v>20</v>
      </c>
      <c r="G56" s="1"/>
      <c r="H56" s="44"/>
      <c r="I56" s="45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0" customHeight="1">
      <c r="A57" s="46"/>
      <c r="B57" s="257">
        <f>IF(NSG!$B16="","",+NSG!$B58)</f>
        <v>667</v>
      </c>
      <c r="C57" s="47">
        <f>+NSG!$C58</f>
        <v>7435.5384836728017</v>
      </c>
      <c r="D57" s="47">
        <f>+NSG!$D58</f>
        <v>156.49898866028138</v>
      </c>
      <c r="E57" s="47">
        <f>+NSG!$E58</f>
        <v>28.169817958850647</v>
      </c>
      <c r="F57" s="47">
        <f>IF(NSG!$B16="","",+$C57-$D57-$E57)</f>
        <v>7250.8696770536699</v>
      </c>
      <c r="G57" s="1"/>
      <c r="H57" s="1"/>
      <c r="I57" s="48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0" hidden="1" customHeight="1">
      <c r="A58" s="46"/>
      <c r="B58" s="257" t="str">
        <f>IF(NSG!$B17="","",+NSG!$B59)</f>
        <v/>
      </c>
      <c r="C58" s="47" t="str">
        <f>+NSG!$C59</f>
        <v/>
      </c>
      <c r="D58" s="47" t="str">
        <f>+NSG!$D59</f>
        <v/>
      </c>
      <c r="E58" s="47" t="str">
        <f>+NSG!$E59</f>
        <v/>
      </c>
      <c r="F58" s="47" t="str">
        <f>IF(NSG!$B17="","",+$C58-$D58-$E58)</f>
        <v/>
      </c>
      <c r="G58" s="1"/>
      <c r="H58" s="1"/>
      <c r="I58" s="48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0" hidden="1" customHeight="1">
      <c r="A59" s="46"/>
      <c r="B59" s="257" t="str">
        <f>IF(NSG!$B18="","",+NSG!$B60)</f>
        <v/>
      </c>
      <c r="C59" s="47" t="str">
        <f>+NSG!$C60</f>
        <v/>
      </c>
      <c r="D59" s="47" t="str">
        <f>+NSG!$D60</f>
        <v/>
      </c>
      <c r="E59" s="47" t="str">
        <f>+NSG!$E60</f>
        <v/>
      </c>
      <c r="F59" s="47" t="str">
        <f>IF(NSG!$B18="","",+$C59-$D59-$E59)</f>
        <v/>
      </c>
      <c r="G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0" hidden="1" customHeight="1">
      <c r="A60" s="46"/>
      <c r="B60" s="257" t="str">
        <f>IF(NSG!$B19="","",+NSG!$B61)</f>
        <v/>
      </c>
      <c r="C60" s="47" t="str">
        <f>+NSG!$C61</f>
        <v/>
      </c>
      <c r="D60" s="47" t="str">
        <f>+NSG!$D61</f>
        <v/>
      </c>
      <c r="E60" s="47" t="str">
        <f>+NSG!$E61</f>
        <v/>
      </c>
      <c r="F60" s="47" t="str">
        <f>IF(NSG!$B19="","",+$C60-$D60-$E60)</f>
        <v/>
      </c>
      <c r="G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0" hidden="1" customHeight="1" outlineLevel="1">
      <c r="A61" s="46"/>
      <c r="B61" s="257" t="str">
        <f>IF(NSG!$B20="","",+NSG!$B62)</f>
        <v/>
      </c>
      <c r="C61" s="47" t="str">
        <f>+NSG!$C62</f>
        <v/>
      </c>
      <c r="D61" s="47" t="str">
        <f>+NSG!$D62</f>
        <v/>
      </c>
      <c r="E61" s="47" t="str">
        <f>+NSG!$E62</f>
        <v/>
      </c>
      <c r="F61" s="47" t="str">
        <f>IF(NSG!$B20="","",+$C61-$D61-$E61)</f>
        <v/>
      </c>
      <c r="G61" s="1"/>
      <c r="H61" s="1"/>
      <c r="I61" s="48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0" hidden="1" customHeight="1" outlineLevel="1">
      <c r="A62" s="46"/>
      <c r="B62" s="257" t="str">
        <f>IF(NSG!$B21="","",+NSG!$B63)</f>
        <v/>
      </c>
      <c r="C62" s="47" t="str">
        <f>+NSG!$C63</f>
        <v/>
      </c>
      <c r="D62" s="47" t="str">
        <f>+NSG!$D63</f>
        <v/>
      </c>
      <c r="E62" s="47" t="str">
        <f>+NSG!$E63</f>
        <v/>
      </c>
      <c r="F62" s="47" t="str">
        <f>IF(NSG!$B21="","",+$C62-$D62-$E62)</f>
        <v/>
      </c>
      <c r="G62" s="1"/>
      <c r="H62" s="1"/>
      <c r="I62" s="48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0" hidden="1" customHeight="1" outlineLevel="1">
      <c r="A63" s="46"/>
      <c r="B63" s="257" t="str">
        <f>IF(NSG!$B22="","",+NSG!$B64)</f>
        <v/>
      </c>
      <c r="C63" s="47" t="str">
        <f>+NSG!$C64</f>
        <v/>
      </c>
      <c r="D63" s="47" t="str">
        <f>+NSG!$D64</f>
        <v/>
      </c>
      <c r="E63" s="47" t="str">
        <f>+NSG!$E64</f>
        <v/>
      </c>
      <c r="F63" s="47" t="str">
        <f>IF(NSG!$B22="","",+$C63-$D63-$E63)</f>
        <v/>
      </c>
      <c r="G63" s="1"/>
      <c r="H63" s="1"/>
      <c r="I63" s="48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0" hidden="1" customHeight="1" outlineLevel="1">
      <c r="A64" s="46"/>
      <c r="B64" s="257" t="str">
        <f>IF(NSG!$B23="","",+NSG!$B65)</f>
        <v/>
      </c>
      <c r="C64" s="47" t="str">
        <f>+NSG!$C65</f>
        <v/>
      </c>
      <c r="D64" s="47" t="str">
        <f>+NSG!$D65</f>
        <v/>
      </c>
      <c r="E64" s="47" t="str">
        <f>+NSG!$E65</f>
        <v/>
      </c>
      <c r="F64" s="47" t="str">
        <f>IF(NSG!$B23="","",+$C64-$D64-$E64)</f>
        <v/>
      </c>
      <c r="G64" s="1"/>
      <c r="H64" s="1"/>
      <c r="I64" s="48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0" hidden="1" customHeight="1" outlineLevel="1">
      <c r="A65" s="46"/>
      <c r="B65" s="257" t="str">
        <f>IF(NSG!$B24="","",+NSG!$B66)</f>
        <v/>
      </c>
      <c r="C65" s="47" t="str">
        <f>+NSG!$C66</f>
        <v/>
      </c>
      <c r="D65" s="47" t="str">
        <f>+NSG!$D66</f>
        <v/>
      </c>
      <c r="E65" s="47" t="str">
        <f>+NSG!$E66</f>
        <v/>
      </c>
      <c r="F65" s="47" t="str">
        <f>IF(NSG!$B24="","",+$C65-$D65-$E65)</f>
        <v/>
      </c>
      <c r="G65" s="1"/>
      <c r="H65" s="1"/>
      <c r="I65" s="48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0" hidden="1" customHeight="1" outlineLevel="1">
      <c r="A66" s="46"/>
      <c r="B66" s="257" t="str">
        <f>IF(NSG!$B25="","",+NSG!$B67)</f>
        <v/>
      </c>
      <c r="C66" s="47" t="str">
        <f>+NSG!$C67</f>
        <v/>
      </c>
      <c r="D66" s="47" t="str">
        <f>+NSG!$D67</f>
        <v/>
      </c>
      <c r="E66" s="47" t="str">
        <f>+NSG!$E67</f>
        <v/>
      </c>
      <c r="F66" s="47" t="str">
        <f>IF(NSG!$B25="","",+$C66-$D66-$E66)</f>
        <v/>
      </c>
      <c r="G66" s="1"/>
      <c r="H66" s="1"/>
      <c r="I66" s="48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0" hidden="1" customHeight="1" outlineLevel="1">
      <c r="A67" s="46"/>
      <c r="B67" s="257" t="str">
        <f>IF(NSG!$B26="","",+NSG!$B68)</f>
        <v/>
      </c>
      <c r="C67" s="47" t="str">
        <f>+NSG!$C68</f>
        <v/>
      </c>
      <c r="D67" s="47" t="str">
        <f>+NSG!$D68</f>
        <v/>
      </c>
      <c r="E67" s="47" t="str">
        <f>+NSG!$E68</f>
        <v/>
      </c>
      <c r="F67" s="47" t="str">
        <f>IF(NSG!$B26="","",+$C67-$D67-$E67)</f>
        <v/>
      </c>
      <c r="G67" s="1"/>
      <c r="H67" s="1"/>
      <c r="I67" s="48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0" hidden="1" customHeight="1" outlineLevel="1">
      <c r="A68" s="46"/>
      <c r="B68" s="257" t="str">
        <f>IF(NSG!$B27="","",+NSG!$B69)</f>
        <v/>
      </c>
      <c r="C68" s="47" t="str">
        <f>+NSG!$C69</f>
        <v/>
      </c>
      <c r="D68" s="47" t="str">
        <f>+NSG!$D69</f>
        <v/>
      </c>
      <c r="E68" s="47" t="str">
        <f>+NSG!$E69</f>
        <v/>
      </c>
      <c r="F68" s="47" t="str">
        <f>IF(NSG!$B27="","",+$C68-$D68-$E68)</f>
        <v/>
      </c>
      <c r="G68" s="1"/>
      <c r="H68" s="1"/>
      <c r="I68" s="48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0" hidden="1" customHeight="1" outlineLevel="1">
      <c r="A69" s="46"/>
      <c r="B69" s="257" t="str">
        <f>IF(NSG!$B28="","",+NSG!$B70)</f>
        <v/>
      </c>
      <c r="C69" s="47" t="str">
        <f>+NSG!$C70</f>
        <v/>
      </c>
      <c r="D69" s="47" t="str">
        <f>+NSG!$D70</f>
        <v/>
      </c>
      <c r="E69" s="47" t="str">
        <f>+NSG!$E70</f>
        <v/>
      </c>
      <c r="F69" s="47" t="str">
        <f>IF(NSG!$B28="","",+$C69-$D69-$E69)</f>
        <v/>
      </c>
      <c r="G69" s="1"/>
      <c r="H69" s="1"/>
      <c r="I69" s="48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0" hidden="1" customHeight="1" outlineLevel="1">
      <c r="A70" s="46"/>
      <c r="B70" s="257" t="str">
        <f>IF(NSG!$B29="","",+NSG!$B71)</f>
        <v/>
      </c>
      <c r="C70" s="47" t="str">
        <f>+NSG!$C71</f>
        <v/>
      </c>
      <c r="D70" s="47" t="str">
        <f>+NSG!$D71</f>
        <v/>
      </c>
      <c r="E70" s="47" t="str">
        <f>+NSG!$E71</f>
        <v/>
      </c>
      <c r="F70" s="47" t="str">
        <f>IF(NSG!$B29="","",+$C70-$D70-$E70)</f>
        <v/>
      </c>
      <c r="G70" s="1"/>
      <c r="H70" s="1"/>
      <c r="I70" s="48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0" hidden="1" customHeight="1" outlineLevel="1">
      <c r="A71" s="46"/>
      <c r="B71" s="257" t="str">
        <f>IF(NSG!$B30="","",+NSG!$B72)</f>
        <v/>
      </c>
      <c r="C71" s="47" t="str">
        <f>+NSG!$C72</f>
        <v/>
      </c>
      <c r="D71" s="47" t="str">
        <f>+NSG!$D72</f>
        <v/>
      </c>
      <c r="E71" s="47" t="str">
        <f>+NSG!$E72</f>
        <v/>
      </c>
      <c r="F71" s="47" t="str">
        <f>IF(NSG!$B30="","",+$C71-$D71-$E71)</f>
        <v/>
      </c>
      <c r="G71" s="1"/>
      <c r="H71" s="1"/>
      <c r="I71" s="48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0" hidden="1" customHeight="1" outlineLevel="1">
      <c r="A72" s="46"/>
      <c r="B72" s="257" t="str">
        <f>IF(NSG!$B31="","",+NSG!$B73)</f>
        <v/>
      </c>
      <c r="C72" s="47" t="str">
        <f>+NSG!$C73</f>
        <v/>
      </c>
      <c r="D72" s="47" t="str">
        <f>+NSG!$D73</f>
        <v/>
      </c>
      <c r="E72" s="47" t="str">
        <f>+NSG!$E73</f>
        <v/>
      </c>
      <c r="F72" s="47" t="str">
        <f>IF(NSG!$B31="","",+$C72-$D72-$E72)</f>
        <v/>
      </c>
      <c r="G72" s="1"/>
      <c r="H72" s="1"/>
      <c r="I72" s="48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0" hidden="1" customHeight="1" outlineLevel="1">
      <c r="A73" s="46"/>
      <c r="B73" s="257" t="str">
        <f>IF(NSG!$B32="","",+NSG!$B74)</f>
        <v/>
      </c>
      <c r="C73" s="47" t="str">
        <f>+NSG!$C74</f>
        <v/>
      </c>
      <c r="D73" s="47" t="str">
        <f>+NSG!$D74</f>
        <v/>
      </c>
      <c r="E73" s="47" t="str">
        <f>+NSG!$E74</f>
        <v/>
      </c>
      <c r="F73" s="47" t="str">
        <f>IF(NSG!$B32="","",+$C73-$D73-$E73)</f>
        <v/>
      </c>
      <c r="G73" s="1"/>
      <c r="H73" s="1"/>
      <c r="I73" s="48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0" hidden="1" customHeight="1" outlineLevel="1">
      <c r="A74" s="46"/>
      <c r="B74" s="257" t="str">
        <f>IF(NSG!$B33="","",+NSG!$B75)</f>
        <v/>
      </c>
      <c r="C74" s="47" t="str">
        <f>+NSG!$C75</f>
        <v/>
      </c>
      <c r="D74" s="47" t="str">
        <f>+NSG!$D75</f>
        <v/>
      </c>
      <c r="E74" s="47" t="str">
        <f>+NSG!$E75</f>
        <v/>
      </c>
      <c r="F74" s="47" t="str">
        <f>IF(NSG!$B33="","",+$C74-$D74-$E74)</f>
        <v/>
      </c>
      <c r="G74" s="1"/>
      <c r="H74" s="1"/>
      <c r="I74" s="48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0" hidden="1" customHeight="1" outlineLevel="1">
      <c r="A75" s="46"/>
      <c r="B75" s="257" t="str">
        <f>IF(NSG!$B34="","",+NSG!$B76)</f>
        <v/>
      </c>
      <c r="C75" s="47" t="str">
        <f>+NSG!$C76</f>
        <v/>
      </c>
      <c r="D75" s="47" t="str">
        <f>+NSG!$D76</f>
        <v/>
      </c>
      <c r="E75" s="47" t="str">
        <f>+NSG!$E76</f>
        <v/>
      </c>
      <c r="F75" s="47" t="str">
        <f>IF(NSG!$B34="","",+$C75-$D75-$E75)</f>
        <v/>
      </c>
      <c r="G75" s="1"/>
      <c r="H75" s="1"/>
      <c r="I75" s="48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0" hidden="1" customHeight="1" outlineLevel="1">
      <c r="A76" s="46"/>
      <c r="B76" s="257" t="str">
        <f>IF(NSG!$B35="","",+NSG!$B77)</f>
        <v/>
      </c>
      <c r="C76" s="47" t="str">
        <f>+NSG!$C77</f>
        <v/>
      </c>
      <c r="D76" s="47" t="str">
        <f>+NSG!$D77</f>
        <v/>
      </c>
      <c r="E76" s="47" t="str">
        <f>+NSG!$E77</f>
        <v/>
      </c>
      <c r="F76" s="47" t="str">
        <f>IF(NSG!$B35="","",+$C76-$D76-$E76)</f>
        <v/>
      </c>
      <c r="G76" s="1"/>
      <c r="H76" s="1"/>
      <c r="I76" s="48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0" hidden="1" customHeight="1" outlineLevel="1">
      <c r="A77" s="46"/>
      <c r="B77" s="257" t="str">
        <f>IF(NSG!$B36="","",+NSG!$B78)</f>
        <v/>
      </c>
      <c r="C77" s="47" t="str">
        <f>+NSG!$C78</f>
        <v/>
      </c>
      <c r="D77" s="47" t="str">
        <f>+NSG!$D78</f>
        <v/>
      </c>
      <c r="E77" s="47" t="str">
        <f>+NSG!$E78</f>
        <v/>
      </c>
      <c r="F77" s="47" t="str">
        <f>IF(NSG!$B36="","",+$C77-$D77-$E77)</f>
        <v/>
      </c>
      <c r="G77" s="1"/>
      <c r="H77" s="1"/>
      <c r="I77" s="48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0" hidden="1" customHeight="1" outlineLevel="1">
      <c r="A78" s="46"/>
      <c r="B78" s="257" t="str">
        <f>IF(NSG!$B37="","",+NSG!$B79)</f>
        <v/>
      </c>
      <c r="C78" s="47" t="str">
        <f>+NSG!$C79</f>
        <v/>
      </c>
      <c r="D78" s="47" t="str">
        <f>+NSG!$D79</f>
        <v/>
      </c>
      <c r="E78" s="47" t="str">
        <f>+NSG!$E79</f>
        <v/>
      </c>
      <c r="F78" s="47" t="str">
        <f>IF(NSG!$B37="","",+$C78-$D78-$E78)</f>
        <v/>
      </c>
      <c r="G78" s="1"/>
      <c r="H78" s="1"/>
      <c r="I78" s="48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0" hidden="1" customHeight="1" outlineLevel="1">
      <c r="A79" s="46"/>
      <c r="B79" s="257" t="str">
        <f>IF(NSG!$B38="","",+NSG!$B80)</f>
        <v/>
      </c>
      <c r="C79" s="47" t="str">
        <f>+NSG!$C80</f>
        <v/>
      </c>
      <c r="D79" s="47" t="str">
        <f>+NSG!$D80</f>
        <v/>
      </c>
      <c r="E79" s="47" t="str">
        <f>+NSG!$E80</f>
        <v/>
      </c>
      <c r="F79" s="47" t="str">
        <f>IF(NSG!$B38="","",+$C79-$D79-$E79)</f>
        <v/>
      </c>
      <c r="G79" s="1"/>
      <c r="H79" s="1"/>
      <c r="I79" s="48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0" hidden="1" customHeight="1" outlineLevel="1">
      <c r="A80" s="46"/>
      <c r="B80" s="257" t="str">
        <f>IF(NSG!$B39="","",+NSG!$B81)</f>
        <v/>
      </c>
      <c r="C80" s="47" t="str">
        <f>+NSG!$C81</f>
        <v/>
      </c>
      <c r="D80" s="47" t="str">
        <f>+NSG!$D81</f>
        <v/>
      </c>
      <c r="E80" s="47" t="str">
        <f>+NSG!$E81</f>
        <v/>
      </c>
      <c r="F80" s="47" t="str">
        <f>IF(NSG!$B39="","",+$C80-$D80-$E80)</f>
        <v/>
      </c>
      <c r="G80" s="1"/>
      <c r="H80" s="1"/>
      <c r="I80" s="48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0" hidden="1" customHeight="1" outlineLevel="1">
      <c r="A81" s="46"/>
      <c r="B81" s="257" t="str">
        <f>IF(NSG!$B40="","",+NSG!$B82)</f>
        <v/>
      </c>
      <c r="C81" s="47" t="str">
        <f>+NSG!$C82</f>
        <v/>
      </c>
      <c r="D81" s="47" t="str">
        <f>+NSG!$D82</f>
        <v/>
      </c>
      <c r="E81" s="47" t="str">
        <f>+NSG!$E82</f>
        <v/>
      </c>
      <c r="F81" s="47" t="str">
        <f>IF(NSG!$B40="","",+$C81-$D81-$E81)</f>
        <v/>
      </c>
      <c r="G81" s="1"/>
      <c r="H81" s="1"/>
      <c r="I81" s="48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0" hidden="1" customHeight="1" outlineLevel="1">
      <c r="A82" s="46"/>
      <c r="B82" s="257" t="str">
        <f>IF(NSG!$B41="","",+NSG!$B83)</f>
        <v/>
      </c>
      <c r="C82" s="47" t="str">
        <f>+NSG!$C83</f>
        <v/>
      </c>
      <c r="D82" s="47" t="str">
        <f>+NSG!$D83</f>
        <v/>
      </c>
      <c r="E82" s="47" t="str">
        <f>+NSG!$E83</f>
        <v/>
      </c>
      <c r="F82" s="47" t="str">
        <f>IF(NSG!$B41="","",+$C82-$D82-$E82)</f>
        <v/>
      </c>
      <c r="G82" s="1"/>
      <c r="H82" s="1"/>
      <c r="I82" s="48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0" hidden="1" customHeight="1" outlineLevel="1">
      <c r="A83" s="46"/>
      <c r="B83" s="257" t="str">
        <f>IF(NSG!$B42="","",+NSG!$B84)</f>
        <v/>
      </c>
      <c r="C83" s="47" t="str">
        <f>+NSG!$C84</f>
        <v/>
      </c>
      <c r="D83" s="47" t="str">
        <f>+NSG!$D84</f>
        <v/>
      </c>
      <c r="E83" s="47" t="str">
        <f>+NSG!$E84</f>
        <v/>
      </c>
      <c r="F83" s="47" t="str">
        <f>IF(NSG!$B42="","",+$C83-$D83-$E83)</f>
        <v/>
      </c>
      <c r="G83" s="1"/>
      <c r="H83" s="1"/>
      <c r="I83" s="48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0" hidden="1" customHeight="1" outlineLevel="1">
      <c r="A84" s="46"/>
      <c r="B84" s="257" t="str">
        <f>IF(NSG!$B43="","",+NSG!$B85)</f>
        <v/>
      </c>
      <c r="C84" s="47" t="str">
        <f>+NSG!$C85</f>
        <v/>
      </c>
      <c r="D84" s="47" t="str">
        <f>+NSG!$D85</f>
        <v/>
      </c>
      <c r="E84" s="47" t="str">
        <f>+NSG!$E85</f>
        <v/>
      </c>
      <c r="F84" s="47" t="str">
        <f>IF(NSG!$B43="","",+$C84-$D84-$E84)</f>
        <v/>
      </c>
      <c r="G84" s="1"/>
      <c r="H84" s="1"/>
      <c r="I84" s="48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0" hidden="1" customHeight="1" outlineLevel="1">
      <c r="A85" s="46"/>
      <c r="B85" s="257" t="str">
        <f>IF(NSG!$B44="","",+NSG!$B86)</f>
        <v/>
      </c>
      <c r="C85" s="47" t="str">
        <f>+NSG!$C86</f>
        <v/>
      </c>
      <c r="D85" s="47" t="str">
        <f>+NSG!$D86</f>
        <v/>
      </c>
      <c r="E85" s="47" t="str">
        <f>+NSG!$E86</f>
        <v/>
      </c>
      <c r="F85" s="47" t="str">
        <f>IF(NSG!$B44="","",+$C85-$D85-$E85)</f>
        <v/>
      </c>
      <c r="G85" s="1"/>
      <c r="H85" s="1"/>
      <c r="I85" s="48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0" hidden="1" customHeight="1" outlineLevel="1">
      <c r="A86" s="46"/>
      <c r="B86" s="257" t="str">
        <f>IF(NSG!$B45="","",+NSG!$B87)</f>
        <v/>
      </c>
      <c r="C86" s="47" t="str">
        <f>+NSG!$C87</f>
        <v/>
      </c>
      <c r="D86" s="47" t="str">
        <f>+NSG!$D87</f>
        <v/>
      </c>
      <c r="E86" s="47" t="str">
        <f>+NSG!$E87</f>
        <v/>
      </c>
      <c r="F86" s="47" t="str">
        <f>IF(NSG!$B45="","",+$C86-$D86-$E86)</f>
        <v/>
      </c>
      <c r="G86" s="1"/>
      <c r="H86" s="1"/>
      <c r="I86" s="48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0" hidden="1" customHeight="1" outlineLevel="1">
      <c r="A87" s="46"/>
      <c r="B87" s="257" t="str">
        <f>IF(NSG!$B46="","",+NSG!$B88)</f>
        <v/>
      </c>
      <c r="C87" s="47" t="str">
        <f>+NSG!$C88</f>
        <v/>
      </c>
      <c r="D87" s="47" t="str">
        <f>+NSG!$D88</f>
        <v/>
      </c>
      <c r="E87" s="47" t="str">
        <f>+NSG!$E88</f>
        <v/>
      </c>
      <c r="F87" s="47" t="str">
        <f>IF(NSG!$B46="","",+$C87-$D87-$E87)</f>
        <v/>
      </c>
      <c r="G87" s="1"/>
      <c r="H87" s="1"/>
      <c r="I87" s="48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0" hidden="1" customHeight="1" outlineLevel="1">
      <c r="A88" s="46"/>
      <c r="B88" s="257" t="str">
        <f>IF(NSG!$B47="","",+NSG!$B89)</f>
        <v/>
      </c>
      <c r="C88" s="47" t="str">
        <f>+NSG!$C89</f>
        <v/>
      </c>
      <c r="D88" s="47" t="str">
        <f>+NSG!$D89</f>
        <v/>
      </c>
      <c r="E88" s="47" t="str">
        <f>+NSG!$E89</f>
        <v/>
      </c>
      <c r="F88" s="47" t="str">
        <f>IF(NSG!$B47="","",+$C88-$D88-$E88)</f>
        <v/>
      </c>
      <c r="G88" s="1"/>
      <c r="H88" s="1"/>
      <c r="I88" s="48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0" hidden="1" customHeight="1" outlineLevel="1">
      <c r="A89" s="46"/>
      <c r="B89" s="257" t="str">
        <f>IF(NSG!$B48="","",+NSG!$B90)</f>
        <v/>
      </c>
      <c r="C89" s="47" t="str">
        <f>+NSG!$C90</f>
        <v/>
      </c>
      <c r="D89" s="47" t="str">
        <f>+NSG!$D90</f>
        <v/>
      </c>
      <c r="E89" s="47" t="str">
        <f>+NSG!$E90</f>
        <v/>
      </c>
      <c r="F89" s="47" t="str">
        <f>IF(NSG!$B48="","",+$C89-$D89-$E89)</f>
        <v/>
      </c>
      <c r="G89" s="1"/>
      <c r="H89" s="1"/>
      <c r="I89" s="48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0" hidden="1" customHeight="1" outlineLevel="1">
      <c r="A90" s="46"/>
      <c r="B90" s="257" t="str">
        <f>IF(NSG!$B49="","",+NSG!$B91)</f>
        <v/>
      </c>
      <c r="C90" s="47" t="str">
        <f>+NSG!$C91</f>
        <v/>
      </c>
      <c r="D90" s="47" t="str">
        <f>+NSG!$D91</f>
        <v/>
      </c>
      <c r="E90" s="47" t="str">
        <f>+NSG!$E91</f>
        <v/>
      </c>
      <c r="F90" s="47" t="str">
        <f>IF(NSG!$B49="","",+$C90-$D90-$E90)</f>
        <v/>
      </c>
      <c r="G90" s="1"/>
      <c r="H90" s="1"/>
      <c r="I90" s="48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0" hidden="1" customHeight="1" outlineLevel="1">
      <c r="A91" s="46"/>
      <c r="B91" s="257" t="str">
        <f>IF(NSG!$B50="","",+NSG!$B92)</f>
        <v/>
      </c>
      <c r="C91" s="47" t="str">
        <f>+NSG!$C92</f>
        <v/>
      </c>
      <c r="D91" s="47" t="str">
        <f>+NSG!$D92</f>
        <v/>
      </c>
      <c r="E91" s="47" t="str">
        <f>+NSG!$E92</f>
        <v/>
      </c>
      <c r="F91" s="47" t="str">
        <f>IF(NSG!$B50="","",+$C91-$D91-$E91)</f>
        <v/>
      </c>
      <c r="G91" s="1"/>
      <c r="H91" s="1"/>
      <c r="I91" s="48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0" hidden="1" customHeight="1" outlineLevel="1">
      <c r="A92" s="46"/>
      <c r="B92" s="257" t="str">
        <f>IF(NSG!$B51="","",+NSG!$B93)</f>
        <v/>
      </c>
      <c r="C92" s="47" t="str">
        <f>+NSG!$C93</f>
        <v/>
      </c>
      <c r="D92" s="47" t="str">
        <f>+NSG!$D93</f>
        <v/>
      </c>
      <c r="E92" s="47" t="str">
        <f>+NSG!$E93</f>
        <v/>
      </c>
      <c r="F92" s="47" t="str">
        <f>IF(NSG!$B51="","",+$C92-$D92-$E92)</f>
        <v/>
      </c>
      <c r="G92" s="1"/>
      <c r="H92" s="1"/>
      <c r="I92" s="48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0" hidden="1" customHeight="1" outlineLevel="1">
      <c r="A93" s="46"/>
      <c r="B93" s="257" t="str">
        <f>IF(NSG!$B52="","",+NSG!$B94)</f>
        <v/>
      </c>
      <c r="C93" s="47" t="str">
        <f>+NSG!$C94</f>
        <v/>
      </c>
      <c r="D93" s="47" t="str">
        <f>+NSG!$D94</f>
        <v/>
      </c>
      <c r="E93" s="47" t="str">
        <f>+NSG!$E94</f>
        <v/>
      </c>
      <c r="F93" s="47" t="str">
        <f>IF(NSG!$B52="","",+$C93-$D93-$E93)</f>
        <v/>
      </c>
      <c r="G93" s="1"/>
      <c r="H93" s="1"/>
      <c r="I93" s="48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0" customHeight="1" collapsed="1">
      <c r="A94" s="1"/>
      <c r="B94" s="49"/>
      <c r="C94" s="38">
        <f>SUM(C57:C93)</f>
        <v>7435.5384836728017</v>
      </c>
      <c r="D94" s="38">
        <f>SUM(D57:D93)</f>
        <v>156.49898866028138</v>
      </c>
      <c r="E94" s="38">
        <f>SUM(E57:E93)</f>
        <v>28.169817958850647</v>
      </c>
      <c r="F94" s="38">
        <f>SUM(F57:F93)</f>
        <v>7250.8696770536699</v>
      </c>
      <c r="G94" s="1"/>
      <c r="H94" s="50" t="s">
        <v>21</v>
      </c>
      <c r="I94" s="51">
        <f>+NSG!$D$100</f>
        <v>154.4615163271983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5.15" customHeight="1">
      <c r="A95" s="1"/>
      <c r="B95" s="21"/>
      <c r="C95" s="48"/>
      <c r="D95" s="1"/>
      <c r="E95" s="52" t="s">
        <v>22</v>
      </c>
      <c r="F95" s="47">
        <f>+NSG!G111</f>
        <v>43.87</v>
      </c>
      <c r="G95" s="1"/>
      <c r="H95" s="273" t="s">
        <v>23</v>
      </c>
      <c r="I95" s="27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5.15" customHeight="1">
      <c r="A96" s="1"/>
      <c r="B96" s="21"/>
      <c r="C96" s="1"/>
      <c r="D96" s="1"/>
      <c r="E96" s="53" t="s">
        <v>24</v>
      </c>
      <c r="F96" s="38">
        <f>+F94-F95</f>
        <v>7206.99967705367</v>
      </c>
      <c r="G96" s="1"/>
      <c r="H96" s="274"/>
      <c r="I96" s="274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3.5" thickBot="1">
      <c r="A97" s="1"/>
      <c r="B97" s="21"/>
      <c r="C97" s="16"/>
      <c r="D97" s="16"/>
      <c r="E97" s="54"/>
      <c r="F97" s="48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9" customHeight="1" thickBot="1">
      <c r="A98" s="1"/>
      <c r="B98" s="275" t="str">
        <f>"FACTURAR A "&amp;+$C$5&amp;" POR INTERESES PACTADOS"</f>
        <v>FACTURAR A TRANSPORTES SANTA FE DEL NORTE SAC POR INTERESES PACTADOS</v>
      </c>
      <c r="C98" s="276"/>
      <c r="E98" s="275" t="str">
        <f>"FACTURAR A "&amp;+$C$5&amp;" POR COMISION DE ESTRUCTURACIÓN"</f>
        <v>FACTURAR A TRANSPORTES SANTA FE DEL NORTE SAC POR COMISION DE ESTRUCTURACIÓN</v>
      </c>
      <c r="F98" s="276"/>
      <c r="H98" s="275" t="str">
        <f>"FACTURAR A "&amp;+$C$5&amp;" POR INTERESES ADICIONALES"</f>
        <v>FACTURAR A TRANSPORTES SANTA FE DEL NORTE SAC POR INTERESES ADICIONALES</v>
      </c>
      <c r="I98" s="276"/>
      <c r="J98" s="3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0" customHeight="1">
      <c r="A99" s="1"/>
      <c r="B99" s="55" t="s">
        <v>25</v>
      </c>
      <c r="C99" s="56">
        <f>+NSG!C109</f>
        <v>156.49898866028138</v>
      </c>
      <c r="E99" s="57" t="s">
        <v>26</v>
      </c>
      <c r="F99" s="58">
        <f>+NSG!G109</f>
        <v>37.177692418364011</v>
      </c>
      <c r="H99" s="57" t="s">
        <v>27</v>
      </c>
      <c r="I99" s="58">
        <f>+NSG!K109</f>
        <v>0</v>
      </c>
      <c r="J99" s="3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0" customHeight="1">
      <c r="A100" s="59"/>
      <c r="B100" s="60" t="s">
        <v>19</v>
      </c>
      <c r="C100" s="56">
        <f>+NSG!C110</f>
        <v>28.169817958850647</v>
      </c>
      <c r="E100" s="60" t="s">
        <v>19</v>
      </c>
      <c r="F100" s="61">
        <f>+NSG!G110</f>
        <v>6.6919846353055217</v>
      </c>
      <c r="H100" s="60" t="s">
        <v>19</v>
      </c>
      <c r="I100" s="61">
        <f>+NSG!K110</f>
        <v>0</v>
      </c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</row>
    <row r="101" spans="1:26" ht="30" customHeight="1" thickBot="1">
      <c r="A101" s="1"/>
      <c r="B101" s="62" t="s">
        <v>28</v>
      </c>
      <c r="C101" s="63">
        <f>SUM(C99:C100)</f>
        <v>184.66880661913203</v>
      </c>
      <c r="E101" s="64" t="s">
        <v>28</v>
      </c>
      <c r="F101" s="65">
        <f>SUM(F99:F100)</f>
        <v>43.869677053669534</v>
      </c>
      <c r="H101" s="64" t="s">
        <v>28</v>
      </c>
      <c r="I101" s="65">
        <f>SUM(I99:I100)</f>
        <v>0</v>
      </c>
      <c r="J101" s="3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2"/>
      <c r="H102" s="1"/>
      <c r="I102" s="3"/>
      <c r="J102" s="3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2"/>
      <c r="H103" s="1"/>
      <c r="I103" s="3"/>
      <c r="J103" s="3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2"/>
      <c r="H104" s="1"/>
      <c r="I104" s="3"/>
      <c r="J104" s="3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2"/>
      <c r="H105" s="1"/>
      <c r="I105" s="3"/>
      <c r="J105" s="3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2"/>
      <c r="H106" s="1"/>
      <c r="I106" s="3"/>
      <c r="J106" s="3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2"/>
      <c r="H107" s="1"/>
      <c r="I107" s="3"/>
      <c r="J107" s="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2"/>
      <c r="H108" s="1"/>
      <c r="I108" s="3"/>
      <c r="J108" s="3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2"/>
      <c r="E109" s="1"/>
      <c r="F109" s="1"/>
      <c r="G109" s="2"/>
      <c r="H109" s="1"/>
      <c r="I109" s="3"/>
      <c r="J109" s="3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66" t="s">
        <v>102</v>
      </c>
      <c r="E110" s="1"/>
      <c r="G110" s="67" t="s">
        <v>29</v>
      </c>
      <c r="H110" s="1"/>
      <c r="I110" s="3"/>
      <c r="J110" s="3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68" t="s">
        <v>103</v>
      </c>
      <c r="E111" s="1"/>
      <c r="G111" s="69" t="s">
        <v>30</v>
      </c>
      <c r="H111" s="1"/>
      <c r="I111" s="3"/>
      <c r="J111" s="3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69" t="str">
        <f>+C5</f>
        <v>TRANSPORTES SANTA FE DEL NORTE SAC</v>
      </c>
      <c r="E112" s="1"/>
      <c r="G112" s="69" t="s">
        <v>31</v>
      </c>
      <c r="H112" s="1"/>
      <c r="I112" s="3"/>
      <c r="J112" s="3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69"/>
      <c r="E113" s="1"/>
      <c r="F113" s="69"/>
      <c r="G113" s="2"/>
      <c r="H113" s="1"/>
      <c r="I113" s="3"/>
      <c r="J113" s="3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69"/>
      <c r="E114" s="1"/>
      <c r="F114" s="69"/>
      <c r="G114" s="2"/>
      <c r="H114" s="1"/>
      <c r="I114" s="3"/>
      <c r="J114" s="3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69"/>
      <c r="E115" s="1"/>
      <c r="F115" s="1"/>
      <c r="G115" s="2"/>
      <c r="H115" s="1"/>
      <c r="I115" s="3"/>
      <c r="J115" s="3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2"/>
      <c r="H116" s="1"/>
      <c r="I116" s="3"/>
      <c r="J116" s="3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2"/>
      <c r="H117" s="1"/>
      <c r="I117" s="3"/>
      <c r="J117" s="3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2"/>
      <c r="C118" s="2"/>
      <c r="D118" s="1"/>
      <c r="E118" s="1"/>
      <c r="F118" s="2"/>
      <c r="G118" s="2"/>
      <c r="H118" s="1"/>
      <c r="I118" s="3"/>
      <c r="J118" s="3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67" t="str">
        <f>+C110</f>
        <v>Susy Elizabeth Garcia Salirrosas</v>
      </c>
      <c r="D119" s="1"/>
      <c r="E119" s="67"/>
      <c r="F119" s="1"/>
      <c r="G119" s="67" t="str">
        <f t="shared" ref="G119:G120" si="0">+C119</f>
        <v>Susy Elizabeth Garcia Salirrosas</v>
      </c>
      <c r="H119" s="1"/>
      <c r="I119" s="3"/>
      <c r="J119" s="3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69" t="str">
        <f>+C111</f>
        <v>DNI 43371978</v>
      </c>
      <c r="D120" s="1"/>
      <c r="E120" s="69"/>
      <c r="F120" s="1"/>
      <c r="G120" s="69" t="str">
        <f t="shared" si="0"/>
        <v>DNI 43371978</v>
      </c>
      <c r="H120" s="1"/>
      <c r="I120" s="3"/>
      <c r="J120" s="3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69" t="s">
        <v>32</v>
      </c>
      <c r="D121" s="1"/>
      <c r="E121" s="69"/>
      <c r="F121" s="1"/>
      <c r="G121" s="69" t="s">
        <v>33</v>
      </c>
      <c r="H121" s="1"/>
      <c r="I121" s="3"/>
      <c r="J121" s="3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2"/>
      <c r="H122" s="1"/>
      <c r="I122" s="3"/>
      <c r="J122" s="3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2"/>
      <c r="H123" s="1"/>
      <c r="I123" s="3"/>
      <c r="J123" s="3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2"/>
      <c r="H124" s="1"/>
      <c r="I124" s="3"/>
      <c r="J124" s="3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2"/>
      <c r="H125" s="1"/>
      <c r="I125" s="3"/>
      <c r="J125" s="3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2"/>
      <c r="H126" s="1"/>
      <c r="I126" s="3"/>
      <c r="J126" s="3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2"/>
      <c r="H127" s="1"/>
      <c r="I127" s="3"/>
      <c r="J127" s="3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2"/>
      <c r="H128" s="1"/>
      <c r="I128" s="3"/>
      <c r="J128" s="3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2"/>
      <c r="H129" s="1"/>
      <c r="I129" s="3"/>
      <c r="J129" s="3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2"/>
      <c r="H130" s="1"/>
      <c r="I130" s="3"/>
      <c r="J130" s="3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2"/>
      <c r="H131" s="1"/>
      <c r="I131" s="3"/>
      <c r="J131" s="3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2"/>
      <c r="H132" s="1"/>
      <c r="I132" s="3"/>
      <c r="J132" s="3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2"/>
      <c r="H133" s="1"/>
      <c r="I133" s="3"/>
      <c r="J133" s="3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2"/>
      <c r="H134" s="1"/>
      <c r="I134" s="3"/>
      <c r="J134" s="3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2"/>
      <c r="H135" s="1"/>
      <c r="I135" s="3"/>
      <c r="J135" s="3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2"/>
      <c r="H136" s="1"/>
      <c r="I136" s="3"/>
      <c r="J136" s="3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2"/>
      <c r="H137" s="1"/>
      <c r="I137" s="3"/>
      <c r="J137" s="3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2"/>
      <c r="H138" s="1"/>
      <c r="I138" s="3"/>
      <c r="J138" s="3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2"/>
      <c r="H139" s="1"/>
      <c r="I139" s="3"/>
      <c r="J139" s="3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2"/>
      <c r="H140" s="1"/>
      <c r="I140" s="3"/>
      <c r="J140" s="3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2"/>
      <c r="H141" s="1"/>
      <c r="I141" s="3"/>
      <c r="J141" s="3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2"/>
      <c r="H142" s="1"/>
      <c r="I142" s="3"/>
      <c r="J142" s="3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2"/>
      <c r="H143" s="1"/>
      <c r="I143" s="3"/>
      <c r="J143" s="3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2"/>
      <c r="H144" s="1"/>
      <c r="I144" s="3"/>
      <c r="J144" s="3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2"/>
      <c r="H145" s="1"/>
      <c r="I145" s="3"/>
      <c r="J145" s="3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2"/>
      <c r="H146" s="1"/>
      <c r="I146" s="3"/>
      <c r="J146" s="3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2"/>
      <c r="H147" s="1"/>
      <c r="I147" s="3"/>
      <c r="J147" s="3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2"/>
      <c r="H148" s="1"/>
      <c r="I148" s="3"/>
      <c r="J148" s="3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2"/>
      <c r="H149" s="1"/>
      <c r="I149" s="3"/>
      <c r="J149" s="3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2"/>
      <c r="H150" s="1"/>
      <c r="I150" s="3"/>
      <c r="J150" s="3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2"/>
      <c r="H151" s="1"/>
      <c r="I151" s="3"/>
      <c r="J151" s="3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2"/>
      <c r="H152" s="1"/>
      <c r="I152" s="3"/>
      <c r="J152" s="3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2"/>
      <c r="H153" s="1"/>
      <c r="I153" s="3"/>
      <c r="J153" s="3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2"/>
      <c r="H154" s="1"/>
      <c r="I154" s="3"/>
      <c r="J154" s="3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2"/>
      <c r="H155" s="1"/>
      <c r="I155" s="3"/>
      <c r="J155" s="3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2"/>
      <c r="H156" s="1"/>
      <c r="I156" s="3"/>
      <c r="J156" s="3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2"/>
      <c r="H157" s="1"/>
      <c r="I157" s="3"/>
      <c r="J157" s="3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2"/>
      <c r="H158" s="1"/>
      <c r="I158" s="3"/>
      <c r="J158" s="3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2"/>
      <c r="H159" s="1"/>
      <c r="I159" s="3"/>
      <c r="J159" s="3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2"/>
      <c r="H160" s="1"/>
      <c r="I160" s="3"/>
      <c r="J160" s="3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2"/>
      <c r="H161" s="1"/>
      <c r="I161" s="3"/>
      <c r="J161" s="3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2"/>
      <c r="H162" s="1"/>
      <c r="I162" s="3"/>
      <c r="J162" s="3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2"/>
      <c r="H163" s="1"/>
      <c r="I163" s="3"/>
      <c r="J163" s="3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2"/>
      <c r="H164" s="1"/>
      <c r="I164" s="3"/>
      <c r="J164" s="3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2"/>
      <c r="H165" s="1"/>
      <c r="I165" s="3"/>
      <c r="J165" s="3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2"/>
      <c r="H166" s="1"/>
      <c r="I166" s="3"/>
      <c r="J166" s="3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2"/>
      <c r="H167" s="1"/>
      <c r="I167" s="3"/>
      <c r="J167" s="3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2"/>
      <c r="H168" s="1"/>
      <c r="I168" s="3"/>
      <c r="J168" s="3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2"/>
      <c r="H169" s="1"/>
      <c r="I169" s="3"/>
      <c r="J169" s="3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2"/>
      <c r="H170" s="1"/>
      <c r="I170" s="3"/>
      <c r="J170" s="3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2"/>
      <c r="H171" s="1"/>
      <c r="I171" s="3"/>
      <c r="J171" s="3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2"/>
      <c r="H172" s="1"/>
      <c r="I172" s="3"/>
      <c r="J172" s="3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2"/>
      <c r="H173" s="1"/>
      <c r="I173" s="3"/>
      <c r="J173" s="3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2"/>
      <c r="H174" s="1"/>
      <c r="I174" s="3"/>
      <c r="J174" s="3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2"/>
      <c r="H175" s="1"/>
      <c r="I175" s="3"/>
      <c r="J175" s="3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2"/>
      <c r="H176" s="1"/>
      <c r="I176" s="3"/>
      <c r="J176" s="3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2"/>
      <c r="H177" s="1"/>
      <c r="I177" s="3"/>
      <c r="J177" s="3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2"/>
      <c r="H178" s="1"/>
      <c r="I178" s="3"/>
      <c r="J178" s="3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2"/>
      <c r="H179" s="1"/>
      <c r="I179" s="3"/>
      <c r="J179" s="3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2"/>
      <c r="H180" s="1"/>
      <c r="I180" s="3"/>
      <c r="J180" s="3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2"/>
      <c r="H181" s="1"/>
      <c r="I181" s="3"/>
      <c r="J181" s="3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2"/>
      <c r="H182" s="1"/>
      <c r="I182" s="3"/>
      <c r="J182" s="3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2"/>
      <c r="H183" s="1"/>
      <c r="I183" s="3"/>
      <c r="J183" s="3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2"/>
      <c r="H184" s="1"/>
      <c r="I184" s="3"/>
      <c r="J184" s="3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2"/>
      <c r="H185" s="1"/>
      <c r="I185" s="3"/>
      <c r="J185" s="3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2"/>
      <c r="H186" s="1"/>
      <c r="I186" s="3"/>
      <c r="J186" s="3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2"/>
      <c r="H187" s="1"/>
      <c r="I187" s="3"/>
      <c r="J187" s="3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2"/>
      <c r="H188" s="1"/>
      <c r="I188" s="3"/>
      <c r="J188" s="3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2"/>
      <c r="H189" s="1"/>
      <c r="I189" s="3"/>
      <c r="J189" s="3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2"/>
      <c r="H190" s="1"/>
      <c r="I190" s="3"/>
      <c r="J190" s="3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2"/>
      <c r="H191" s="1"/>
      <c r="I191" s="3"/>
      <c r="J191" s="3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2"/>
      <c r="H192" s="1"/>
      <c r="I192" s="3"/>
      <c r="J192" s="3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2"/>
      <c r="H193" s="1"/>
      <c r="I193" s="3"/>
      <c r="J193" s="3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2"/>
      <c r="H194" s="1"/>
      <c r="I194" s="3"/>
      <c r="J194" s="3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2"/>
      <c r="H195" s="1"/>
      <c r="I195" s="3"/>
      <c r="J195" s="3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2"/>
      <c r="H196" s="1"/>
      <c r="I196" s="3"/>
      <c r="J196" s="3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2"/>
      <c r="H197" s="1"/>
      <c r="I197" s="3"/>
      <c r="J197" s="3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2"/>
      <c r="H198" s="1"/>
      <c r="I198" s="3"/>
      <c r="J198" s="3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2"/>
      <c r="H199" s="1"/>
      <c r="I199" s="3"/>
      <c r="J199" s="3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2"/>
      <c r="H200" s="1"/>
      <c r="I200" s="3"/>
      <c r="J200" s="3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2"/>
      <c r="H201" s="1"/>
      <c r="I201" s="3"/>
      <c r="J201" s="3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2"/>
      <c r="H202" s="1"/>
      <c r="I202" s="3"/>
      <c r="J202" s="3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2"/>
      <c r="H203" s="1"/>
      <c r="I203" s="3"/>
      <c r="J203" s="3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2"/>
      <c r="H204" s="1"/>
      <c r="I204" s="3"/>
      <c r="J204" s="3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2"/>
      <c r="H205" s="1"/>
      <c r="I205" s="3"/>
      <c r="J205" s="3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2"/>
      <c r="H206" s="1"/>
      <c r="I206" s="3"/>
      <c r="J206" s="3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2"/>
      <c r="H207" s="1"/>
      <c r="I207" s="3"/>
      <c r="J207" s="3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2"/>
      <c r="H208" s="1"/>
      <c r="I208" s="3"/>
      <c r="J208" s="3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2"/>
      <c r="H209" s="1"/>
      <c r="I209" s="3"/>
      <c r="J209" s="3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2"/>
      <c r="H210" s="1"/>
      <c r="I210" s="3"/>
      <c r="J210" s="3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2"/>
      <c r="H211" s="1"/>
      <c r="I211" s="3"/>
      <c r="J211" s="3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2"/>
      <c r="H212" s="1"/>
      <c r="I212" s="3"/>
      <c r="J212" s="3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2"/>
      <c r="H213" s="1"/>
      <c r="I213" s="3"/>
      <c r="J213" s="3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2"/>
      <c r="H214" s="1"/>
      <c r="I214" s="3"/>
      <c r="J214" s="3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2"/>
      <c r="H215" s="1"/>
      <c r="I215" s="3"/>
      <c r="J215" s="3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2"/>
      <c r="H216" s="1"/>
      <c r="I216" s="3"/>
      <c r="J216" s="3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2"/>
      <c r="H217" s="1"/>
      <c r="I217" s="3"/>
      <c r="J217" s="3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2"/>
      <c r="H218" s="1"/>
      <c r="I218" s="3"/>
      <c r="J218" s="3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2"/>
      <c r="H219" s="1"/>
      <c r="I219" s="3"/>
      <c r="J219" s="3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2"/>
      <c r="H220" s="1"/>
      <c r="I220" s="3"/>
      <c r="J220" s="3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2"/>
      <c r="H221" s="1"/>
      <c r="I221" s="3"/>
      <c r="J221" s="3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2"/>
      <c r="H222" s="1"/>
      <c r="I222" s="3"/>
      <c r="J222" s="3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2"/>
      <c r="H223" s="1"/>
      <c r="I223" s="3"/>
      <c r="J223" s="3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2"/>
      <c r="H224" s="1"/>
      <c r="I224" s="3"/>
      <c r="J224" s="3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2"/>
      <c r="H225" s="1"/>
      <c r="I225" s="3"/>
      <c r="J225" s="3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2"/>
      <c r="H226" s="1"/>
      <c r="I226" s="3"/>
      <c r="J226" s="3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2"/>
      <c r="H227" s="1"/>
      <c r="I227" s="3"/>
      <c r="J227" s="3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2"/>
      <c r="H228" s="1"/>
      <c r="I228" s="3"/>
      <c r="J228" s="3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2"/>
      <c r="H229" s="1"/>
      <c r="I229" s="3"/>
      <c r="J229" s="3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2"/>
      <c r="H230" s="1"/>
      <c r="I230" s="3"/>
      <c r="J230" s="3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2"/>
      <c r="H231" s="1"/>
      <c r="I231" s="3"/>
      <c r="J231" s="3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2"/>
      <c r="H232" s="1"/>
      <c r="I232" s="3"/>
      <c r="J232" s="3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2"/>
      <c r="H233" s="1"/>
      <c r="I233" s="3"/>
      <c r="J233" s="3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2"/>
      <c r="H234" s="1"/>
      <c r="I234" s="3"/>
      <c r="J234" s="3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2"/>
      <c r="H235" s="1"/>
      <c r="I235" s="3"/>
      <c r="J235" s="3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2"/>
      <c r="H236" s="1"/>
      <c r="I236" s="3"/>
      <c r="J236" s="3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2"/>
      <c r="H237" s="1"/>
      <c r="I237" s="3"/>
      <c r="J237" s="3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2"/>
      <c r="H238" s="1"/>
      <c r="I238" s="3"/>
      <c r="J238" s="3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2"/>
      <c r="H239" s="1"/>
      <c r="I239" s="3"/>
      <c r="J239" s="3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2"/>
      <c r="H240" s="1"/>
      <c r="I240" s="3"/>
      <c r="J240" s="3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2"/>
      <c r="H241" s="1"/>
      <c r="I241" s="3"/>
      <c r="J241" s="3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2"/>
      <c r="H242" s="1"/>
      <c r="I242" s="3"/>
      <c r="J242" s="3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2"/>
      <c r="H243" s="1"/>
      <c r="I243" s="3"/>
      <c r="J243" s="3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2"/>
      <c r="H244" s="1"/>
      <c r="I244" s="3"/>
      <c r="J244" s="3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2"/>
      <c r="H245" s="1"/>
      <c r="I245" s="3"/>
      <c r="J245" s="3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2"/>
      <c r="H246" s="1"/>
      <c r="I246" s="3"/>
      <c r="J246" s="3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2"/>
      <c r="H247" s="1"/>
      <c r="I247" s="3"/>
      <c r="J247" s="3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2"/>
      <c r="H248" s="1"/>
      <c r="I248" s="3"/>
      <c r="J248" s="3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2"/>
      <c r="H249" s="1"/>
      <c r="I249" s="3"/>
      <c r="J249" s="3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2"/>
      <c r="H250" s="1"/>
      <c r="I250" s="3"/>
      <c r="J250" s="3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2"/>
      <c r="H251" s="1"/>
      <c r="I251" s="3"/>
      <c r="J251" s="3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2"/>
      <c r="H252" s="1"/>
      <c r="I252" s="3"/>
      <c r="J252" s="3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2"/>
      <c r="H253" s="1"/>
      <c r="I253" s="3"/>
      <c r="J253" s="3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2"/>
      <c r="H254" s="1"/>
      <c r="I254" s="3"/>
      <c r="J254" s="3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2"/>
      <c r="H255" s="1"/>
      <c r="I255" s="3"/>
      <c r="J255" s="3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2"/>
      <c r="H256" s="1"/>
      <c r="I256" s="3"/>
      <c r="J256" s="3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2"/>
      <c r="H257" s="1"/>
      <c r="I257" s="3"/>
      <c r="J257" s="3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2"/>
      <c r="H258" s="1"/>
      <c r="I258" s="3"/>
      <c r="J258" s="3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2"/>
      <c r="H259" s="1"/>
      <c r="I259" s="3"/>
      <c r="J259" s="3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2"/>
      <c r="H260" s="1"/>
      <c r="I260" s="3"/>
      <c r="J260" s="3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2"/>
      <c r="H261" s="1"/>
      <c r="I261" s="3"/>
      <c r="J261" s="3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2"/>
      <c r="H262" s="1"/>
      <c r="I262" s="3"/>
      <c r="J262" s="3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2"/>
      <c r="H263" s="1"/>
      <c r="I263" s="3"/>
      <c r="J263" s="3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2"/>
      <c r="H264" s="1"/>
      <c r="I264" s="3"/>
      <c r="J264" s="3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2"/>
      <c r="H265" s="1"/>
      <c r="I265" s="3"/>
      <c r="J265" s="3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2"/>
      <c r="H266" s="1"/>
      <c r="I266" s="3"/>
      <c r="J266" s="3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2"/>
      <c r="H267" s="1"/>
      <c r="I267" s="3"/>
      <c r="J267" s="3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2"/>
      <c r="H268" s="1"/>
      <c r="I268" s="3"/>
      <c r="J268" s="3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2"/>
      <c r="H269" s="1"/>
      <c r="I269" s="3"/>
      <c r="J269" s="3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2"/>
      <c r="H270" s="1"/>
      <c r="I270" s="3"/>
      <c r="J270" s="3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2"/>
      <c r="H271" s="1"/>
      <c r="I271" s="3"/>
      <c r="J271" s="3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2"/>
      <c r="H272" s="1"/>
      <c r="I272" s="3"/>
      <c r="J272" s="3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2"/>
      <c r="H273" s="1"/>
      <c r="I273" s="3"/>
      <c r="J273" s="3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2"/>
      <c r="H274" s="1"/>
      <c r="I274" s="3"/>
      <c r="J274" s="3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2"/>
      <c r="H275" s="1"/>
      <c r="I275" s="3"/>
      <c r="J275" s="3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2"/>
      <c r="H276" s="1"/>
      <c r="I276" s="3"/>
      <c r="J276" s="3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2"/>
      <c r="H277" s="1"/>
      <c r="I277" s="3"/>
      <c r="J277" s="3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2"/>
      <c r="H278" s="1"/>
      <c r="I278" s="3"/>
      <c r="J278" s="3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2"/>
      <c r="H279" s="1"/>
      <c r="I279" s="3"/>
      <c r="J279" s="3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2"/>
      <c r="H280" s="1"/>
      <c r="I280" s="3"/>
      <c r="J280" s="3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2"/>
      <c r="H281" s="1"/>
      <c r="I281" s="3"/>
      <c r="J281" s="3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2"/>
      <c r="H282" s="1"/>
      <c r="I282" s="3"/>
      <c r="J282" s="3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2"/>
      <c r="H283" s="1"/>
      <c r="I283" s="3"/>
      <c r="J283" s="3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2"/>
      <c r="H284" s="1"/>
      <c r="I284" s="3"/>
      <c r="J284" s="3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2"/>
      <c r="H285" s="1"/>
      <c r="I285" s="3"/>
      <c r="J285" s="3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2"/>
      <c r="H286" s="1"/>
      <c r="I286" s="3"/>
      <c r="J286" s="3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2"/>
      <c r="H287" s="1"/>
      <c r="I287" s="3"/>
      <c r="J287" s="3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2"/>
      <c r="H288" s="1"/>
      <c r="I288" s="3"/>
      <c r="J288" s="3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2"/>
      <c r="H289" s="1"/>
      <c r="I289" s="3"/>
      <c r="J289" s="3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2"/>
      <c r="H290" s="1"/>
      <c r="I290" s="3"/>
      <c r="J290" s="3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2"/>
      <c r="H291" s="1"/>
      <c r="I291" s="3"/>
      <c r="J291" s="3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2"/>
      <c r="H292" s="1"/>
      <c r="I292" s="3"/>
      <c r="J292" s="3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2"/>
      <c r="H293" s="1"/>
      <c r="I293" s="3"/>
      <c r="J293" s="3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2"/>
      <c r="H294" s="1"/>
      <c r="I294" s="3"/>
      <c r="J294" s="3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2"/>
      <c r="H295" s="1"/>
      <c r="I295" s="3"/>
      <c r="J295" s="3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2"/>
      <c r="H296" s="1"/>
      <c r="I296" s="3"/>
      <c r="J296" s="3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2"/>
      <c r="H297" s="1"/>
      <c r="I297" s="3"/>
      <c r="J297" s="3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2"/>
      <c r="H298" s="1"/>
      <c r="I298" s="3"/>
      <c r="J298" s="3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2"/>
      <c r="H299" s="1"/>
      <c r="I299" s="3"/>
      <c r="J299" s="3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2"/>
      <c r="H300" s="1"/>
      <c r="I300" s="3"/>
      <c r="J300" s="3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2"/>
      <c r="H301" s="1"/>
      <c r="I301" s="3"/>
      <c r="J301" s="3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2"/>
      <c r="H302" s="1"/>
      <c r="I302" s="3"/>
      <c r="J302" s="3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2"/>
      <c r="H303" s="1"/>
      <c r="I303" s="3"/>
      <c r="J303" s="3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2"/>
      <c r="H304" s="1"/>
      <c r="I304" s="3"/>
      <c r="J304" s="3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2"/>
      <c r="H305" s="1"/>
      <c r="I305" s="3"/>
      <c r="J305" s="3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2"/>
      <c r="H306" s="1"/>
      <c r="I306" s="3"/>
      <c r="J306" s="3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2"/>
      <c r="H307" s="1"/>
      <c r="I307" s="3"/>
      <c r="J307" s="3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2"/>
      <c r="H308" s="1"/>
      <c r="I308" s="3"/>
      <c r="J308" s="3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2"/>
      <c r="H309" s="1"/>
      <c r="I309" s="3"/>
      <c r="J309" s="3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2"/>
      <c r="H310" s="1"/>
      <c r="I310" s="3"/>
      <c r="J310" s="3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2"/>
      <c r="H311" s="1"/>
      <c r="I311" s="3"/>
      <c r="J311" s="3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2"/>
      <c r="H312" s="1"/>
      <c r="I312" s="3"/>
      <c r="J312" s="3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2"/>
      <c r="H313" s="1"/>
      <c r="I313" s="3"/>
      <c r="J313" s="3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2"/>
      <c r="H314" s="1"/>
      <c r="I314" s="3"/>
      <c r="J314" s="3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2"/>
      <c r="H315" s="1"/>
      <c r="I315" s="3"/>
      <c r="J315" s="3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2"/>
      <c r="H316" s="1"/>
      <c r="I316" s="3"/>
      <c r="J316" s="3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2"/>
      <c r="H317" s="1"/>
      <c r="I317" s="3"/>
      <c r="J317" s="3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2"/>
      <c r="H318" s="1"/>
      <c r="I318" s="3"/>
      <c r="J318" s="3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2"/>
      <c r="H319" s="1"/>
      <c r="I319" s="3"/>
      <c r="J319" s="3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2"/>
      <c r="H320" s="1"/>
      <c r="I320" s="3"/>
      <c r="J320" s="3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2"/>
      <c r="H321" s="1"/>
      <c r="I321" s="3"/>
      <c r="J321" s="3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2"/>
      <c r="H322" s="1"/>
      <c r="I322" s="3"/>
      <c r="J322" s="3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2"/>
      <c r="H323" s="1"/>
      <c r="I323" s="3"/>
      <c r="J323" s="3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2"/>
      <c r="H324" s="1"/>
      <c r="I324" s="3"/>
      <c r="J324" s="3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2"/>
      <c r="H325" s="1"/>
      <c r="I325" s="3"/>
      <c r="J325" s="3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2"/>
      <c r="H326" s="1"/>
      <c r="I326" s="3"/>
      <c r="J326" s="3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2"/>
      <c r="H327" s="1"/>
      <c r="I327" s="3"/>
      <c r="J327" s="3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2"/>
      <c r="H328" s="1"/>
      <c r="I328" s="3"/>
      <c r="J328" s="3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2"/>
      <c r="H329" s="1"/>
      <c r="I329" s="3"/>
      <c r="J329" s="3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2"/>
      <c r="H330" s="1"/>
      <c r="I330" s="3"/>
      <c r="J330" s="3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2"/>
      <c r="H331" s="1"/>
      <c r="I331" s="3"/>
      <c r="J331" s="3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2"/>
      <c r="H332" s="1"/>
      <c r="I332" s="3"/>
      <c r="J332" s="3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2"/>
      <c r="H333" s="1"/>
      <c r="I333" s="3"/>
      <c r="J333" s="3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2"/>
      <c r="H334" s="1"/>
      <c r="I334" s="3"/>
      <c r="J334" s="3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2"/>
      <c r="H335" s="1"/>
      <c r="I335" s="3"/>
      <c r="J335" s="3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2"/>
      <c r="H336" s="1"/>
      <c r="I336" s="3"/>
      <c r="J336" s="3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2"/>
      <c r="H337" s="1"/>
      <c r="I337" s="3"/>
      <c r="J337" s="3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2"/>
      <c r="H338" s="1"/>
      <c r="I338" s="3"/>
      <c r="J338" s="3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2"/>
      <c r="H339" s="1"/>
      <c r="I339" s="3"/>
      <c r="J339" s="3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2"/>
      <c r="H340" s="1"/>
      <c r="I340" s="3"/>
      <c r="J340" s="3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2"/>
      <c r="H341" s="1"/>
      <c r="I341" s="3"/>
      <c r="J341" s="3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2"/>
      <c r="H342" s="1"/>
      <c r="I342" s="3"/>
      <c r="J342" s="3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2"/>
      <c r="H343" s="1"/>
      <c r="I343" s="3"/>
      <c r="J343" s="3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2"/>
      <c r="H344" s="1"/>
      <c r="I344" s="3"/>
      <c r="J344" s="3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2"/>
      <c r="H345" s="1"/>
      <c r="I345" s="3"/>
      <c r="J345" s="3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2"/>
      <c r="H346" s="1"/>
      <c r="I346" s="3"/>
      <c r="J346" s="3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2"/>
      <c r="H347" s="1"/>
      <c r="I347" s="3"/>
      <c r="J347" s="3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2"/>
      <c r="H348" s="1"/>
      <c r="I348" s="3"/>
      <c r="J348" s="3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2"/>
      <c r="H349" s="1"/>
      <c r="I349" s="3"/>
      <c r="J349" s="3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2"/>
      <c r="H350" s="1"/>
      <c r="I350" s="3"/>
      <c r="J350" s="3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2"/>
      <c r="H351" s="1"/>
      <c r="I351" s="3"/>
      <c r="J351" s="3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2"/>
      <c r="H352" s="1"/>
      <c r="I352" s="3"/>
      <c r="J352" s="3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2"/>
      <c r="H353" s="1"/>
      <c r="I353" s="3"/>
      <c r="J353" s="3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2"/>
      <c r="H354" s="1"/>
      <c r="I354" s="3"/>
      <c r="J354" s="3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2"/>
      <c r="H355" s="1"/>
      <c r="I355" s="3"/>
      <c r="J355" s="3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2"/>
      <c r="H356" s="1"/>
      <c r="I356" s="3"/>
      <c r="J356" s="3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2"/>
      <c r="H357" s="1"/>
      <c r="I357" s="3"/>
      <c r="J357" s="3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2"/>
      <c r="H358" s="1"/>
      <c r="I358" s="3"/>
      <c r="J358" s="3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2"/>
      <c r="H359" s="1"/>
      <c r="I359" s="3"/>
      <c r="J359" s="3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2"/>
      <c r="H360" s="1"/>
      <c r="I360" s="3"/>
      <c r="J360" s="3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2"/>
      <c r="H361" s="1"/>
      <c r="I361" s="3"/>
      <c r="J361" s="3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2"/>
      <c r="H362" s="1"/>
      <c r="I362" s="3"/>
      <c r="J362" s="3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2"/>
      <c r="H363" s="1"/>
      <c r="I363" s="3"/>
      <c r="J363" s="3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2"/>
      <c r="H364" s="1"/>
      <c r="I364" s="3"/>
      <c r="J364" s="3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2"/>
      <c r="H365" s="1"/>
      <c r="I365" s="3"/>
      <c r="J365" s="3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2"/>
      <c r="H366" s="1"/>
      <c r="I366" s="3"/>
      <c r="J366" s="3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2"/>
      <c r="H367" s="1"/>
      <c r="I367" s="3"/>
      <c r="J367" s="3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2"/>
      <c r="H368" s="1"/>
      <c r="I368" s="3"/>
      <c r="J368" s="3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2"/>
      <c r="H369" s="1"/>
      <c r="I369" s="3"/>
      <c r="J369" s="3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2"/>
      <c r="H370" s="1"/>
      <c r="I370" s="3"/>
      <c r="J370" s="3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2"/>
      <c r="H371" s="1"/>
      <c r="I371" s="3"/>
      <c r="J371" s="3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2"/>
      <c r="H372" s="1"/>
      <c r="I372" s="3"/>
      <c r="J372" s="3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2"/>
      <c r="H373" s="1"/>
      <c r="I373" s="3"/>
      <c r="J373" s="3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2"/>
      <c r="H374" s="1"/>
      <c r="I374" s="3"/>
      <c r="J374" s="3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2"/>
      <c r="H375" s="1"/>
      <c r="I375" s="3"/>
      <c r="J375" s="3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2"/>
      <c r="H376" s="1"/>
      <c r="I376" s="3"/>
      <c r="J376" s="3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2"/>
      <c r="H377" s="1"/>
      <c r="I377" s="3"/>
      <c r="J377" s="3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2"/>
      <c r="H378" s="1"/>
      <c r="I378" s="3"/>
      <c r="J378" s="3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2"/>
      <c r="H379" s="1"/>
      <c r="I379" s="3"/>
      <c r="J379" s="3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2"/>
      <c r="H380" s="1"/>
      <c r="I380" s="3"/>
      <c r="J380" s="3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2"/>
      <c r="H381" s="1"/>
      <c r="I381" s="3"/>
      <c r="J381" s="3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2"/>
      <c r="H382" s="1"/>
      <c r="I382" s="3"/>
      <c r="J382" s="3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2"/>
      <c r="H383" s="1"/>
      <c r="I383" s="3"/>
      <c r="J383" s="3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2"/>
      <c r="H384" s="1"/>
      <c r="I384" s="3"/>
      <c r="J384" s="3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2"/>
      <c r="H385" s="1"/>
      <c r="I385" s="3"/>
      <c r="J385" s="3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2"/>
      <c r="H386" s="1"/>
      <c r="I386" s="3"/>
      <c r="J386" s="3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2"/>
      <c r="H387" s="1"/>
      <c r="I387" s="3"/>
      <c r="J387" s="3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2"/>
      <c r="H388" s="1"/>
      <c r="I388" s="3"/>
      <c r="J388" s="3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2"/>
      <c r="H389" s="1"/>
      <c r="I389" s="3"/>
      <c r="J389" s="3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2"/>
      <c r="H390" s="1"/>
      <c r="I390" s="3"/>
      <c r="J390" s="3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2"/>
      <c r="H391" s="1"/>
      <c r="I391" s="3"/>
      <c r="J391" s="3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2"/>
      <c r="H392" s="1"/>
      <c r="I392" s="3"/>
      <c r="J392" s="3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2"/>
      <c r="H393" s="1"/>
      <c r="I393" s="3"/>
      <c r="J393" s="3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2"/>
      <c r="H394" s="1"/>
      <c r="I394" s="3"/>
      <c r="J394" s="3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2"/>
      <c r="H395" s="1"/>
      <c r="I395" s="3"/>
      <c r="J395" s="3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2"/>
      <c r="H396" s="1"/>
      <c r="I396" s="3"/>
      <c r="J396" s="3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2"/>
      <c r="H397" s="1"/>
      <c r="I397" s="3"/>
      <c r="J397" s="3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2"/>
      <c r="H398" s="1"/>
      <c r="I398" s="3"/>
      <c r="J398" s="3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2"/>
      <c r="H399" s="1"/>
      <c r="I399" s="3"/>
      <c r="J399" s="3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2"/>
      <c r="H400" s="1"/>
      <c r="I400" s="3"/>
      <c r="J400" s="3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2"/>
      <c r="H401" s="1"/>
      <c r="I401" s="3"/>
      <c r="J401" s="3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2"/>
      <c r="H402" s="1"/>
      <c r="I402" s="3"/>
      <c r="J402" s="3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2"/>
      <c r="H403" s="1"/>
      <c r="I403" s="3"/>
      <c r="J403" s="3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2"/>
      <c r="H404" s="1"/>
      <c r="I404" s="3"/>
      <c r="J404" s="3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2"/>
      <c r="H405" s="1"/>
      <c r="I405" s="3"/>
      <c r="J405" s="3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2"/>
      <c r="H406" s="1"/>
      <c r="I406" s="3"/>
      <c r="J406" s="3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2"/>
      <c r="H407" s="1"/>
      <c r="I407" s="3"/>
      <c r="J407" s="3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2"/>
      <c r="H408" s="1"/>
      <c r="I408" s="3"/>
      <c r="J408" s="3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2"/>
      <c r="H409" s="1"/>
      <c r="I409" s="3"/>
      <c r="J409" s="3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2"/>
      <c r="H410" s="1"/>
      <c r="I410" s="3"/>
      <c r="J410" s="3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2"/>
      <c r="H411" s="1"/>
      <c r="I411" s="3"/>
      <c r="J411" s="3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2"/>
      <c r="H412" s="1"/>
      <c r="I412" s="3"/>
      <c r="J412" s="3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2"/>
      <c r="H413" s="1"/>
      <c r="I413" s="3"/>
      <c r="J413" s="3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2"/>
      <c r="H414" s="1"/>
      <c r="I414" s="3"/>
      <c r="J414" s="3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2"/>
      <c r="H415" s="1"/>
      <c r="I415" s="3"/>
      <c r="J415" s="3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2"/>
      <c r="H416" s="1"/>
      <c r="I416" s="3"/>
      <c r="J416" s="3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2"/>
      <c r="H417" s="1"/>
      <c r="I417" s="3"/>
      <c r="J417" s="3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2"/>
      <c r="H418" s="1"/>
      <c r="I418" s="3"/>
      <c r="J418" s="3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2"/>
      <c r="H419" s="1"/>
      <c r="I419" s="3"/>
      <c r="J419" s="3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2"/>
      <c r="H420" s="1"/>
      <c r="I420" s="3"/>
      <c r="J420" s="3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2"/>
      <c r="H421" s="1"/>
      <c r="I421" s="3"/>
      <c r="J421" s="3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2"/>
      <c r="H422" s="1"/>
      <c r="I422" s="3"/>
      <c r="J422" s="3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2"/>
      <c r="H423" s="1"/>
      <c r="I423" s="3"/>
      <c r="J423" s="3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2"/>
      <c r="H424" s="1"/>
      <c r="I424" s="3"/>
      <c r="J424" s="3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2"/>
      <c r="H425" s="1"/>
      <c r="I425" s="3"/>
      <c r="J425" s="3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2"/>
      <c r="H426" s="1"/>
      <c r="I426" s="3"/>
      <c r="J426" s="3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2"/>
      <c r="H427" s="1"/>
      <c r="I427" s="3"/>
      <c r="J427" s="3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2"/>
      <c r="H428" s="1"/>
      <c r="I428" s="3"/>
      <c r="J428" s="3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2"/>
      <c r="H429" s="1"/>
      <c r="I429" s="3"/>
      <c r="J429" s="3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2"/>
      <c r="H430" s="1"/>
      <c r="I430" s="3"/>
      <c r="J430" s="3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2"/>
      <c r="H431" s="1"/>
      <c r="I431" s="3"/>
      <c r="J431" s="3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2"/>
      <c r="H432" s="1"/>
      <c r="I432" s="3"/>
      <c r="J432" s="3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2"/>
      <c r="H433" s="1"/>
      <c r="I433" s="3"/>
      <c r="J433" s="3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2"/>
      <c r="H434" s="1"/>
      <c r="I434" s="3"/>
      <c r="J434" s="3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2"/>
      <c r="H435" s="1"/>
      <c r="I435" s="3"/>
      <c r="J435" s="3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2"/>
      <c r="H436" s="1"/>
      <c r="I436" s="3"/>
      <c r="J436" s="3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2"/>
      <c r="H437" s="1"/>
      <c r="I437" s="3"/>
      <c r="J437" s="3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2"/>
      <c r="H438" s="1"/>
      <c r="I438" s="3"/>
      <c r="J438" s="3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2"/>
      <c r="H439" s="1"/>
      <c r="I439" s="3"/>
      <c r="J439" s="3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2"/>
      <c r="H440" s="1"/>
      <c r="I440" s="3"/>
      <c r="J440" s="3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2"/>
      <c r="H441" s="1"/>
      <c r="I441" s="3"/>
      <c r="J441" s="3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2"/>
      <c r="H442" s="1"/>
      <c r="I442" s="3"/>
      <c r="J442" s="3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2"/>
      <c r="H443" s="1"/>
      <c r="I443" s="3"/>
      <c r="J443" s="3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2"/>
      <c r="H444" s="1"/>
      <c r="I444" s="3"/>
      <c r="J444" s="3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2"/>
      <c r="H445" s="1"/>
      <c r="I445" s="3"/>
      <c r="J445" s="3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2"/>
      <c r="H446" s="1"/>
      <c r="I446" s="3"/>
      <c r="J446" s="3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2"/>
      <c r="H447" s="1"/>
      <c r="I447" s="3"/>
      <c r="J447" s="3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2"/>
      <c r="H448" s="1"/>
      <c r="I448" s="3"/>
      <c r="J448" s="3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2"/>
      <c r="H449" s="1"/>
      <c r="I449" s="3"/>
      <c r="J449" s="3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2"/>
      <c r="H450" s="1"/>
      <c r="I450" s="3"/>
      <c r="J450" s="3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2"/>
      <c r="H451" s="1"/>
      <c r="I451" s="3"/>
      <c r="J451" s="3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2"/>
      <c r="H452" s="1"/>
      <c r="I452" s="3"/>
      <c r="J452" s="3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2"/>
      <c r="H453" s="1"/>
      <c r="I453" s="3"/>
      <c r="J453" s="3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2"/>
      <c r="H454" s="1"/>
      <c r="I454" s="3"/>
      <c r="J454" s="3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2"/>
      <c r="H455" s="1"/>
      <c r="I455" s="3"/>
      <c r="J455" s="3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2"/>
      <c r="H456" s="1"/>
      <c r="I456" s="3"/>
      <c r="J456" s="3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2"/>
      <c r="H457" s="1"/>
      <c r="I457" s="3"/>
      <c r="J457" s="3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2"/>
      <c r="H458" s="1"/>
      <c r="I458" s="3"/>
      <c r="J458" s="3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2"/>
      <c r="H459" s="1"/>
      <c r="I459" s="3"/>
      <c r="J459" s="3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2"/>
      <c r="H460" s="1"/>
      <c r="I460" s="3"/>
      <c r="J460" s="3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2"/>
      <c r="H461" s="1"/>
      <c r="I461" s="3"/>
      <c r="J461" s="3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2"/>
      <c r="H462" s="1"/>
      <c r="I462" s="3"/>
      <c r="J462" s="3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2"/>
      <c r="H463" s="1"/>
      <c r="I463" s="3"/>
      <c r="J463" s="3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2"/>
      <c r="H464" s="1"/>
      <c r="I464" s="3"/>
      <c r="J464" s="3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2"/>
      <c r="H465" s="1"/>
      <c r="I465" s="3"/>
      <c r="J465" s="3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2"/>
      <c r="H466" s="1"/>
      <c r="I466" s="3"/>
      <c r="J466" s="3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2"/>
      <c r="H467" s="1"/>
      <c r="I467" s="3"/>
      <c r="J467" s="3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2"/>
      <c r="H468" s="1"/>
      <c r="I468" s="3"/>
      <c r="J468" s="3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2"/>
      <c r="H469" s="1"/>
      <c r="I469" s="3"/>
      <c r="J469" s="3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2"/>
      <c r="H470" s="1"/>
      <c r="I470" s="3"/>
      <c r="J470" s="3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2"/>
      <c r="H471" s="1"/>
      <c r="I471" s="3"/>
      <c r="J471" s="3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2"/>
      <c r="H472" s="1"/>
      <c r="I472" s="3"/>
      <c r="J472" s="3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2"/>
      <c r="H473" s="1"/>
      <c r="I473" s="3"/>
      <c r="J473" s="3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2"/>
      <c r="H474" s="1"/>
      <c r="I474" s="3"/>
      <c r="J474" s="3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2"/>
      <c r="H475" s="1"/>
      <c r="I475" s="3"/>
      <c r="J475" s="3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2"/>
      <c r="H476" s="1"/>
      <c r="I476" s="3"/>
      <c r="J476" s="3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2"/>
      <c r="H477" s="1"/>
      <c r="I477" s="3"/>
      <c r="J477" s="3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2"/>
      <c r="H478" s="1"/>
      <c r="I478" s="3"/>
      <c r="J478" s="3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2"/>
      <c r="H479" s="1"/>
      <c r="I479" s="3"/>
      <c r="J479" s="3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2"/>
      <c r="H480" s="1"/>
      <c r="I480" s="3"/>
      <c r="J480" s="3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2"/>
      <c r="H481" s="1"/>
      <c r="I481" s="3"/>
      <c r="J481" s="3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2"/>
      <c r="H482" s="1"/>
      <c r="I482" s="3"/>
      <c r="J482" s="3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2"/>
      <c r="H483" s="1"/>
      <c r="I483" s="3"/>
      <c r="J483" s="3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2"/>
      <c r="H484" s="1"/>
      <c r="I484" s="3"/>
      <c r="J484" s="3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2"/>
      <c r="H485" s="1"/>
      <c r="I485" s="3"/>
      <c r="J485" s="3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2"/>
      <c r="H486" s="1"/>
      <c r="I486" s="3"/>
      <c r="J486" s="3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2"/>
      <c r="H487" s="1"/>
      <c r="I487" s="3"/>
      <c r="J487" s="3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2"/>
      <c r="H488" s="1"/>
      <c r="I488" s="3"/>
      <c r="J488" s="3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2"/>
      <c r="H489" s="1"/>
      <c r="I489" s="3"/>
      <c r="J489" s="3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2"/>
      <c r="H490" s="1"/>
      <c r="I490" s="3"/>
      <c r="J490" s="3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2"/>
      <c r="H491" s="1"/>
      <c r="I491" s="3"/>
      <c r="J491" s="3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2"/>
      <c r="H492" s="1"/>
      <c r="I492" s="3"/>
      <c r="J492" s="3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2"/>
      <c r="H493" s="1"/>
      <c r="I493" s="3"/>
      <c r="J493" s="3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2"/>
      <c r="H494" s="1"/>
      <c r="I494" s="3"/>
      <c r="J494" s="3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2"/>
      <c r="H495" s="1"/>
      <c r="I495" s="3"/>
      <c r="J495" s="3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2"/>
      <c r="H496" s="1"/>
      <c r="I496" s="3"/>
      <c r="J496" s="3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2"/>
      <c r="H497" s="1"/>
      <c r="I497" s="3"/>
      <c r="J497" s="3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2"/>
      <c r="H498" s="1"/>
      <c r="I498" s="3"/>
      <c r="J498" s="3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2"/>
      <c r="H499" s="1"/>
      <c r="I499" s="3"/>
      <c r="J499" s="3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2"/>
      <c r="H500" s="1"/>
      <c r="I500" s="3"/>
      <c r="J500" s="3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2"/>
      <c r="H501" s="1"/>
      <c r="I501" s="3"/>
      <c r="J501" s="3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2"/>
      <c r="H502" s="1"/>
      <c r="I502" s="3"/>
      <c r="J502" s="3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2"/>
      <c r="H503" s="1"/>
      <c r="I503" s="3"/>
      <c r="J503" s="3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2"/>
      <c r="H504" s="1"/>
      <c r="I504" s="3"/>
      <c r="J504" s="3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2"/>
      <c r="H505" s="1"/>
      <c r="I505" s="3"/>
      <c r="J505" s="3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2"/>
      <c r="H506" s="1"/>
      <c r="I506" s="3"/>
      <c r="J506" s="3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2"/>
      <c r="H507" s="1"/>
      <c r="I507" s="3"/>
      <c r="J507" s="3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2"/>
      <c r="H508" s="1"/>
      <c r="I508" s="3"/>
      <c r="J508" s="3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2"/>
      <c r="H509" s="1"/>
      <c r="I509" s="3"/>
      <c r="J509" s="3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2"/>
      <c r="H510" s="1"/>
      <c r="I510" s="3"/>
      <c r="J510" s="3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2"/>
      <c r="H511" s="1"/>
      <c r="I511" s="3"/>
      <c r="J511" s="3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2"/>
      <c r="H512" s="1"/>
      <c r="I512" s="3"/>
      <c r="J512" s="3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2"/>
      <c r="H513" s="1"/>
      <c r="I513" s="3"/>
      <c r="J513" s="3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2"/>
      <c r="H514" s="1"/>
      <c r="I514" s="3"/>
      <c r="J514" s="3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2"/>
      <c r="H515" s="1"/>
      <c r="I515" s="3"/>
      <c r="J515" s="3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2"/>
      <c r="H516" s="1"/>
      <c r="I516" s="3"/>
      <c r="J516" s="3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2"/>
      <c r="H517" s="1"/>
      <c r="I517" s="3"/>
      <c r="J517" s="3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2"/>
      <c r="H518" s="1"/>
      <c r="I518" s="3"/>
      <c r="J518" s="3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2"/>
      <c r="H519" s="1"/>
      <c r="I519" s="3"/>
      <c r="J519" s="3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2"/>
      <c r="H520" s="1"/>
      <c r="I520" s="3"/>
      <c r="J520" s="3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2"/>
      <c r="H521" s="1"/>
      <c r="I521" s="3"/>
      <c r="J521" s="3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2"/>
      <c r="H522" s="1"/>
      <c r="I522" s="3"/>
      <c r="J522" s="3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2"/>
      <c r="H523" s="1"/>
      <c r="I523" s="3"/>
      <c r="J523" s="3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2"/>
      <c r="H524" s="1"/>
      <c r="I524" s="3"/>
      <c r="J524" s="3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2"/>
      <c r="H525" s="1"/>
      <c r="I525" s="3"/>
      <c r="J525" s="3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2"/>
      <c r="H526" s="1"/>
      <c r="I526" s="3"/>
      <c r="J526" s="3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2"/>
      <c r="H527" s="1"/>
      <c r="I527" s="3"/>
      <c r="J527" s="3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2"/>
      <c r="H528" s="1"/>
      <c r="I528" s="3"/>
      <c r="J528" s="3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2"/>
      <c r="H529" s="1"/>
      <c r="I529" s="3"/>
      <c r="J529" s="3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2"/>
      <c r="H530" s="1"/>
      <c r="I530" s="3"/>
      <c r="J530" s="3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2"/>
      <c r="H531" s="1"/>
      <c r="I531" s="3"/>
      <c r="J531" s="3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2"/>
      <c r="H532" s="1"/>
      <c r="I532" s="3"/>
      <c r="J532" s="3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2"/>
      <c r="H533" s="1"/>
      <c r="I533" s="3"/>
      <c r="J533" s="3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2"/>
      <c r="H534" s="1"/>
      <c r="I534" s="3"/>
      <c r="J534" s="3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2"/>
      <c r="H535" s="1"/>
      <c r="I535" s="3"/>
      <c r="J535" s="3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2"/>
      <c r="H536" s="1"/>
      <c r="I536" s="3"/>
      <c r="J536" s="3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2"/>
      <c r="H537" s="1"/>
      <c r="I537" s="3"/>
      <c r="J537" s="3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2"/>
      <c r="H538" s="1"/>
      <c r="I538" s="3"/>
      <c r="J538" s="3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2"/>
      <c r="H539" s="1"/>
      <c r="I539" s="3"/>
      <c r="J539" s="3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2"/>
      <c r="H540" s="1"/>
      <c r="I540" s="3"/>
      <c r="J540" s="3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2"/>
      <c r="H541" s="1"/>
      <c r="I541" s="3"/>
      <c r="J541" s="3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2"/>
      <c r="H542" s="1"/>
      <c r="I542" s="3"/>
      <c r="J542" s="3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2"/>
      <c r="H543" s="1"/>
      <c r="I543" s="3"/>
      <c r="J543" s="3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2"/>
      <c r="H544" s="1"/>
      <c r="I544" s="3"/>
      <c r="J544" s="3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2"/>
      <c r="H545" s="1"/>
      <c r="I545" s="3"/>
      <c r="J545" s="3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2"/>
      <c r="H546" s="1"/>
      <c r="I546" s="3"/>
      <c r="J546" s="3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2"/>
      <c r="H547" s="1"/>
      <c r="I547" s="3"/>
      <c r="J547" s="3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2"/>
      <c r="H548" s="1"/>
      <c r="I548" s="3"/>
      <c r="J548" s="3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2"/>
      <c r="H549" s="1"/>
      <c r="I549" s="3"/>
      <c r="J549" s="3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2"/>
      <c r="H550" s="1"/>
      <c r="I550" s="3"/>
      <c r="J550" s="3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2"/>
      <c r="H551" s="1"/>
      <c r="I551" s="3"/>
      <c r="J551" s="3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2"/>
      <c r="H552" s="1"/>
      <c r="I552" s="3"/>
      <c r="J552" s="3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2"/>
      <c r="H553" s="1"/>
      <c r="I553" s="3"/>
      <c r="J553" s="3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2"/>
      <c r="H554" s="1"/>
      <c r="I554" s="3"/>
      <c r="J554" s="3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2"/>
      <c r="H555" s="1"/>
      <c r="I555" s="3"/>
      <c r="J555" s="3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2"/>
      <c r="H556" s="1"/>
      <c r="I556" s="3"/>
      <c r="J556" s="3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2"/>
      <c r="H557" s="1"/>
      <c r="I557" s="3"/>
      <c r="J557" s="3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2"/>
      <c r="H558" s="1"/>
      <c r="I558" s="3"/>
      <c r="J558" s="3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2"/>
      <c r="H559" s="1"/>
      <c r="I559" s="3"/>
      <c r="J559" s="3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2"/>
      <c r="H560" s="1"/>
      <c r="I560" s="3"/>
      <c r="J560" s="3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2"/>
      <c r="H561" s="1"/>
      <c r="I561" s="3"/>
      <c r="J561" s="3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2"/>
      <c r="H562" s="1"/>
      <c r="I562" s="3"/>
      <c r="J562" s="3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2"/>
      <c r="H563" s="1"/>
      <c r="I563" s="3"/>
      <c r="J563" s="3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2"/>
      <c r="H564" s="1"/>
      <c r="I564" s="3"/>
      <c r="J564" s="3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2"/>
      <c r="H565" s="1"/>
      <c r="I565" s="3"/>
      <c r="J565" s="3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2"/>
      <c r="H566" s="1"/>
      <c r="I566" s="3"/>
      <c r="J566" s="3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2"/>
      <c r="H567" s="1"/>
      <c r="I567" s="3"/>
      <c r="J567" s="3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2"/>
      <c r="H568" s="1"/>
      <c r="I568" s="3"/>
      <c r="J568" s="3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2"/>
      <c r="H569" s="1"/>
      <c r="I569" s="3"/>
      <c r="J569" s="3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2"/>
      <c r="H570" s="1"/>
      <c r="I570" s="3"/>
      <c r="J570" s="3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2"/>
      <c r="H571" s="1"/>
      <c r="I571" s="3"/>
      <c r="J571" s="3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2"/>
      <c r="H572" s="1"/>
      <c r="I572" s="3"/>
      <c r="J572" s="3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2"/>
      <c r="H573" s="1"/>
      <c r="I573" s="3"/>
      <c r="J573" s="3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2"/>
      <c r="H574" s="1"/>
      <c r="I574" s="3"/>
      <c r="J574" s="3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2"/>
      <c r="H575" s="1"/>
      <c r="I575" s="3"/>
      <c r="J575" s="3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2"/>
      <c r="H576" s="1"/>
      <c r="I576" s="3"/>
      <c r="J576" s="3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2"/>
      <c r="H577" s="1"/>
      <c r="I577" s="3"/>
      <c r="J577" s="3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2"/>
      <c r="H578" s="1"/>
      <c r="I578" s="3"/>
      <c r="J578" s="3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2"/>
      <c r="H579" s="1"/>
      <c r="I579" s="3"/>
      <c r="J579" s="3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2"/>
      <c r="H580" s="1"/>
      <c r="I580" s="3"/>
      <c r="J580" s="3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2"/>
      <c r="H581" s="1"/>
      <c r="I581" s="3"/>
      <c r="J581" s="3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2"/>
      <c r="H582" s="1"/>
      <c r="I582" s="3"/>
      <c r="J582" s="3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2"/>
      <c r="H583" s="1"/>
      <c r="I583" s="3"/>
      <c r="J583" s="3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2"/>
      <c r="H584" s="1"/>
      <c r="I584" s="3"/>
      <c r="J584" s="3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2"/>
      <c r="H585" s="1"/>
      <c r="I585" s="3"/>
      <c r="J585" s="3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2"/>
      <c r="H586" s="1"/>
      <c r="I586" s="3"/>
      <c r="J586" s="3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2"/>
      <c r="H587" s="1"/>
      <c r="I587" s="3"/>
      <c r="J587" s="3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2"/>
      <c r="H588" s="1"/>
      <c r="I588" s="3"/>
      <c r="J588" s="3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2"/>
      <c r="H589" s="1"/>
      <c r="I589" s="3"/>
      <c r="J589" s="3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2"/>
      <c r="H590" s="1"/>
      <c r="I590" s="3"/>
      <c r="J590" s="3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2"/>
      <c r="H591" s="1"/>
      <c r="I591" s="3"/>
      <c r="J591" s="3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2"/>
      <c r="H592" s="1"/>
      <c r="I592" s="3"/>
      <c r="J592" s="3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2"/>
      <c r="H593" s="1"/>
      <c r="I593" s="3"/>
      <c r="J593" s="3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2"/>
      <c r="H594" s="1"/>
      <c r="I594" s="3"/>
      <c r="J594" s="3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2"/>
      <c r="H595" s="1"/>
      <c r="I595" s="3"/>
      <c r="J595" s="3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2"/>
      <c r="H596" s="1"/>
      <c r="I596" s="3"/>
      <c r="J596" s="3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2"/>
      <c r="H597" s="1"/>
      <c r="I597" s="3"/>
      <c r="J597" s="3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2"/>
      <c r="H598" s="1"/>
      <c r="I598" s="3"/>
      <c r="J598" s="3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2"/>
      <c r="H599" s="1"/>
      <c r="I599" s="3"/>
      <c r="J599" s="3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2"/>
      <c r="H600" s="1"/>
      <c r="I600" s="3"/>
      <c r="J600" s="3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2"/>
      <c r="H601" s="1"/>
      <c r="I601" s="3"/>
      <c r="J601" s="3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2"/>
      <c r="H602" s="1"/>
      <c r="I602" s="3"/>
      <c r="J602" s="3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2"/>
      <c r="H603" s="1"/>
      <c r="I603" s="3"/>
      <c r="J603" s="3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2"/>
      <c r="H604" s="1"/>
      <c r="I604" s="3"/>
      <c r="J604" s="3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2"/>
      <c r="H605" s="1"/>
      <c r="I605" s="3"/>
      <c r="J605" s="3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2"/>
      <c r="H606" s="1"/>
      <c r="I606" s="3"/>
      <c r="J606" s="3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2"/>
      <c r="H607" s="1"/>
      <c r="I607" s="3"/>
      <c r="J607" s="3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2"/>
      <c r="H608" s="1"/>
      <c r="I608" s="3"/>
      <c r="J608" s="3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2"/>
      <c r="H609" s="1"/>
      <c r="I609" s="3"/>
      <c r="J609" s="3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2"/>
      <c r="H610" s="1"/>
      <c r="I610" s="3"/>
      <c r="J610" s="3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2"/>
      <c r="H611" s="1"/>
      <c r="I611" s="3"/>
      <c r="J611" s="3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2"/>
      <c r="H612" s="1"/>
      <c r="I612" s="3"/>
      <c r="J612" s="3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2"/>
      <c r="H613" s="1"/>
      <c r="I613" s="3"/>
      <c r="J613" s="3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2"/>
      <c r="H614" s="1"/>
      <c r="I614" s="3"/>
      <c r="J614" s="3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2"/>
      <c r="H615" s="1"/>
      <c r="I615" s="3"/>
      <c r="J615" s="3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2"/>
      <c r="H616" s="1"/>
      <c r="I616" s="3"/>
      <c r="J616" s="3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2"/>
      <c r="H617" s="1"/>
      <c r="I617" s="3"/>
      <c r="J617" s="3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2"/>
      <c r="H618" s="1"/>
      <c r="I618" s="3"/>
      <c r="J618" s="3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2"/>
      <c r="H619" s="1"/>
      <c r="I619" s="3"/>
      <c r="J619" s="3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2"/>
      <c r="H620" s="1"/>
      <c r="I620" s="3"/>
      <c r="J620" s="3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2"/>
      <c r="H621" s="1"/>
      <c r="I621" s="3"/>
      <c r="J621" s="3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2"/>
      <c r="H622" s="1"/>
      <c r="I622" s="3"/>
      <c r="J622" s="3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2"/>
      <c r="H623" s="1"/>
      <c r="I623" s="3"/>
      <c r="J623" s="3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2"/>
      <c r="H624" s="1"/>
      <c r="I624" s="3"/>
      <c r="J624" s="3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2"/>
      <c r="H625" s="1"/>
      <c r="I625" s="3"/>
      <c r="J625" s="3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2"/>
      <c r="H626" s="1"/>
      <c r="I626" s="3"/>
      <c r="J626" s="3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2"/>
      <c r="H627" s="1"/>
      <c r="I627" s="3"/>
      <c r="J627" s="3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2"/>
      <c r="H628" s="1"/>
      <c r="I628" s="3"/>
      <c r="J628" s="3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2"/>
      <c r="H629" s="1"/>
      <c r="I629" s="3"/>
      <c r="J629" s="3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2"/>
      <c r="H630" s="1"/>
      <c r="I630" s="3"/>
      <c r="J630" s="3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2"/>
      <c r="H631" s="1"/>
      <c r="I631" s="3"/>
      <c r="J631" s="3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2"/>
      <c r="H632" s="1"/>
      <c r="I632" s="3"/>
      <c r="J632" s="3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2"/>
      <c r="H633" s="1"/>
      <c r="I633" s="3"/>
      <c r="J633" s="3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2"/>
      <c r="H634" s="1"/>
      <c r="I634" s="3"/>
      <c r="J634" s="3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2"/>
      <c r="H635" s="1"/>
      <c r="I635" s="3"/>
      <c r="J635" s="3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2"/>
      <c r="H636" s="1"/>
      <c r="I636" s="3"/>
      <c r="J636" s="3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2"/>
      <c r="H637" s="1"/>
      <c r="I637" s="3"/>
      <c r="J637" s="3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2"/>
      <c r="H638" s="1"/>
      <c r="I638" s="3"/>
      <c r="J638" s="3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2"/>
      <c r="H639" s="1"/>
      <c r="I639" s="3"/>
      <c r="J639" s="3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2"/>
      <c r="H640" s="1"/>
      <c r="I640" s="3"/>
      <c r="J640" s="3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2"/>
      <c r="H641" s="1"/>
      <c r="I641" s="3"/>
      <c r="J641" s="3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2"/>
      <c r="H642" s="1"/>
      <c r="I642" s="3"/>
      <c r="J642" s="3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2"/>
      <c r="H643" s="1"/>
      <c r="I643" s="3"/>
      <c r="J643" s="3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2"/>
      <c r="H644" s="1"/>
      <c r="I644" s="3"/>
      <c r="J644" s="3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2"/>
      <c r="H645" s="1"/>
      <c r="I645" s="3"/>
      <c r="J645" s="3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2"/>
      <c r="H646" s="1"/>
      <c r="I646" s="3"/>
      <c r="J646" s="3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2"/>
      <c r="H647" s="1"/>
      <c r="I647" s="3"/>
      <c r="J647" s="3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2"/>
      <c r="H648" s="1"/>
      <c r="I648" s="3"/>
      <c r="J648" s="3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2"/>
      <c r="H649" s="1"/>
      <c r="I649" s="3"/>
      <c r="J649" s="3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2"/>
      <c r="H650" s="1"/>
      <c r="I650" s="3"/>
      <c r="J650" s="3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2"/>
      <c r="H651" s="1"/>
      <c r="I651" s="3"/>
      <c r="J651" s="3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2"/>
      <c r="H652" s="1"/>
      <c r="I652" s="3"/>
      <c r="J652" s="3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2"/>
      <c r="H653" s="1"/>
      <c r="I653" s="3"/>
      <c r="J653" s="3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2"/>
      <c r="H654" s="1"/>
      <c r="I654" s="3"/>
      <c r="J654" s="3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2"/>
      <c r="H655" s="1"/>
      <c r="I655" s="3"/>
      <c r="J655" s="3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2"/>
      <c r="H656" s="1"/>
      <c r="I656" s="3"/>
      <c r="J656" s="3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2"/>
      <c r="H657" s="1"/>
      <c r="I657" s="3"/>
      <c r="J657" s="3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2"/>
      <c r="H658" s="1"/>
      <c r="I658" s="3"/>
      <c r="J658" s="3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2"/>
      <c r="H659" s="1"/>
      <c r="I659" s="3"/>
      <c r="J659" s="3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2"/>
      <c r="H660" s="1"/>
      <c r="I660" s="3"/>
      <c r="J660" s="3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2"/>
      <c r="H661" s="1"/>
      <c r="I661" s="3"/>
      <c r="J661" s="3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2"/>
      <c r="H662" s="1"/>
      <c r="I662" s="3"/>
      <c r="J662" s="3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2"/>
      <c r="H663" s="1"/>
      <c r="I663" s="3"/>
      <c r="J663" s="3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2"/>
      <c r="H664" s="1"/>
      <c r="I664" s="3"/>
      <c r="J664" s="3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2"/>
      <c r="H665" s="1"/>
      <c r="I665" s="3"/>
      <c r="J665" s="3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2"/>
      <c r="H666" s="1"/>
      <c r="I666" s="3"/>
      <c r="J666" s="3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2"/>
      <c r="H667" s="1"/>
      <c r="I667" s="3"/>
      <c r="J667" s="3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2"/>
      <c r="H668" s="1"/>
      <c r="I668" s="3"/>
      <c r="J668" s="3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2"/>
      <c r="H669" s="1"/>
      <c r="I669" s="3"/>
      <c r="J669" s="3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2"/>
      <c r="H670" s="1"/>
      <c r="I670" s="3"/>
      <c r="J670" s="3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2"/>
      <c r="H671" s="1"/>
      <c r="I671" s="3"/>
      <c r="J671" s="3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2"/>
      <c r="H672" s="1"/>
      <c r="I672" s="3"/>
      <c r="J672" s="3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2"/>
      <c r="H673" s="1"/>
      <c r="I673" s="3"/>
      <c r="J673" s="3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2"/>
      <c r="H674" s="1"/>
      <c r="I674" s="3"/>
      <c r="J674" s="3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2"/>
      <c r="H675" s="1"/>
      <c r="I675" s="3"/>
      <c r="J675" s="3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2"/>
      <c r="H676" s="1"/>
      <c r="I676" s="3"/>
      <c r="J676" s="3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2"/>
      <c r="H677" s="1"/>
      <c r="I677" s="3"/>
      <c r="J677" s="3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2"/>
      <c r="H678" s="1"/>
      <c r="I678" s="3"/>
      <c r="J678" s="3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2"/>
      <c r="H679" s="1"/>
      <c r="I679" s="3"/>
      <c r="J679" s="3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2"/>
      <c r="H680" s="1"/>
      <c r="I680" s="3"/>
      <c r="J680" s="3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2"/>
      <c r="H681" s="1"/>
      <c r="I681" s="3"/>
      <c r="J681" s="3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2"/>
      <c r="H682" s="1"/>
      <c r="I682" s="3"/>
      <c r="J682" s="3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2"/>
      <c r="H683" s="1"/>
      <c r="I683" s="3"/>
      <c r="J683" s="3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2"/>
      <c r="H684" s="1"/>
      <c r="I684" s="3"/>
      <c r="J684" s="3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2"/>
      <c r="H685" s="1"/>
      <c r="I685" s="3"/>
      <c r="J685" s="3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2"/>
      <c r="H686" s="1"/>
      <c r="I686" s="3"/>
      <c r="J686" s="3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2"/>
      <c r="H687" s="1"/>
      <c r="I687" s="3"/>
      <c r="J687" s="3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2"/>
      <c r="H688" s="1"/>
      <c r="I688" s="3"/>
      <c r="J688" s="3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2"/>
      <c r="H689" s="1"/>
      <c r="I689" s="3"/>
      <c r="J689" s="3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2"/>
      <c r="H690" s="1"/>
      <c r="I690" s="3"/>
      <c r="J690" s="3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2"/>
      <c r="H691" s="1"/>
      <c r="I691" s="3"/>
      <c r="J691" s="3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2"/>
      <c r="H692" s="1"/>
      <c r="I692" s="3"/>
      <c r="J692" s="3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2"/>
      <c r="H693" s="1"/>
      <c r="I693" s="3"/>
      <c r="J693" s="3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2"/>
      <c r="H694" s="1"/>
      <c r="I694" s="3"/>
      <c r="J694" s="3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2"/>
      <c r="H695" s="1"/>
      <c r="I695" s="3"/>
      <c r="J695" s="3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2"/>
      <c r="H696" s="1"/>
      <c r="I696" s="3"/>
      <c r="J696" s="3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2"/>
      <c r="H697" s="1"/>
      <c r="I697" s="3"/>
      <c r="J697" s="3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2"/>
      <c r="H698" s="1"/>
      <c r="I698" s="3"/>
      <c r="J698" s="3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2"/>
      <c r="H699" s="1"/>
      <c r="I699" s="3"/>
      <c r="J699" s="3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2"/>
      <c r="H700" s="1"/>
      <c r="I700" s="3"/>
      <c r="J700" s="3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2"/>
      <c r="H701" s="1"/>
      <c r="I701" s="3"/>
      <c r="J701" s="3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2"/>
      <c r="H702" s="1"/>
      <c r="I702" s="3"/>
      <c r="J702" s="3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2"/>
      <c r="H703" s="1"/>
      <c r="I703" s="3"/>
      <c r="J703" s="3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2"/>
      <c r="H704" s="1"/>
      <c r="I704" s="3"/>
      <c r="J704" s="3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2"/>
      <c r="H705" s="1"/>
      <c r="I705" s="3"/>
      <c r="J705" s="3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2"/>
      <c r="H706" s="1"/>
      <c r="I706" s="3"/>
      <c r="J706" s="3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2"/>
      <c r="H707" s="1"/>
      <c r="I707" s="3"/>
      <c r="J707" s="3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2"/>
      <c r="H708" s="1"/>
      <c r="I708" s="3"/>
      <c r="J708" s="3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2"/>
      <c r="H709" s="1"/>
      <c r="I709" s="3"/>
      <c r="J709" s="3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2"/>
      <c r="H710" s="1"/>
      <c r="I710" s="3"/>
      <c r="J710" s="3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2"/>
      <c r="H711" s="1"/>
      <c r="I711" s="3"/>
      <c r="J711" s="3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2"/>
      <c r="H712" s="1"/>
      <c r="I712" s="3"/>
      <c r="J712" s="3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2"/>
      <c r="H713" s="1"/>
      <c r="I713" s="3"/>
      <c r="J713" s="3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2"/>
      <c r="H714" s="1"/>
      <c r="I714" s="3"/>
      <c r="J714" s="3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2"/>
      <c r="H715" s="1"/>
      <c r="I715" s="3"/>
      <c r="J715" s="3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2"/>
      <c r="H716" s="1"/>
      <c r="I716" s="3"/>
      <c r="J716" s="3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2"/>
      <c r="H717" s="1"/>
      <c r="I717" s="3"/>
      <c r="J717" s="3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2"/>
      <c r="H718" s="1"/>
      <c r="I718" s="3"/>
      <c r="J718" s="3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2"/>
      <c r="H719" s="1"/>
      <c r="I719" s="3"/>
      <c r="J719" s="3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2"/>
      <c r="H720" s="1"/>
      <c r="I720" s="3"/>
      <c r="J720" s="3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2"/>
      <c r="H721" s="1"/>
      <c r="I721" s="3"/>
      <c r="J721" s="3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2"/>
      <c r="H722" s="1"/>
      <c r="I722" s="3"/>
      <c r="J722" s="3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2"/>
      <c r="H723" s="1"/>
      <c r="I723" s="3"/>
      <c r="J723" s="3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2"/>
      <c r="H724" s="1"/>
      <c r="I724" s="3"/>
      <c r="J724" s="3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2"/>
      <c r="H725" s="1"/>
      <c r="I725" s="3"/>
      <c r="J725" s="3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2"/>
      <c r="H726" s="1"/>
      <c r="I726" s="3"/>
      <c r="J726" s="3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2"/>
      <c r="H727" s="1"/>
      <c r="I727" s="3"/>
      <c r="J727" s="3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2"/>
      <c r="H728" s="1"/>
      <c r="I728" s="3"/>
      <c r="J728" s="3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2"/>
      <c r="H729" s="1"/>
      <c r="I729" s="3"/>
      <c r="J729" s="3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2"/>
      <c r="H730" s="1"/>
      <c r="I730" s="3"/>
      <c r="J730" s="3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2"/>
      <c r="H731" s="1"/>
      <c r="I731" s="3"/>
      <c r="J731" s="3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2"/>
      <c r="H732" s="1"/>
      <c r="I732" s="3"/>
      <c r="J732" s="3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2"/>
      <c r="H733" s="1"/>
      <c r="I733" s="3"/>
      <c r="J733" s="3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2"/>
      <c r="H734" s="1"/>
      <c r="I734" s="3"/>
      <c r="J734" s="3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2"/>
      <c r="H735" s="1"/>
      <c r="I735" s="3"/>
      <c r="J735" s="3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2"/>
      <c r="H736" s="1"/>
      <c r="I736" s="3"/>
      <c r="J736" s="3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2"/>
      <c r="H737" s="1"/>
      <c r="I737" s="3"/>
      <c r="J737" s="3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2"/>
      <c r="H738" s="1"/>
      <c r="I738" s="3"/>
      <c r="J738" s="3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2"/>
      <c r="H739" s="1"/>
      <c r="I739" s="3"/>
      <c r="J739" s="3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2"/>
      <c r="H740" s="1"/>
      <c r="I740" s="3"/>
      <c r="J740" s="3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2"/>
      <c r="H741" s="1"/>
      <c r="I741" s="3"/>
      <c r="J741" s="3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2"/>
      <c r="H742" s="1"/>
      <c r="I742" s="3"/>
      <c r="J742" s="3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2"/>
      <c r="H743" s="1"/>
      <c r="I743" s="3"/>
      <c r="J743" s="3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2"/>
      <c r="H744" s="1"/>
      <c r="I744" s="3"/>
      <c r="J744" s="3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2"/>
      <c r="H745" s="1"/>
      <c r="I745" s="3"/>
      <c r="J745" s="3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2"/>
      <c r="H746" s="1"/>
      <c r="I746" s="3"/>
      <c r="J746" s="3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2"/>
      <c r="H747" s="1"/>
      <c r="I747" s="3"/>
      <c r="J747" s="3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2"/>
      <c r="H748" s="1"/>
      <c r="I748" s="3"/>
      <c r="J748" s="3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2"/>
      <c r="H749" s="1"/>
      <c r="I749" s="3"/>
      <c r="J749" s="3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2"/>
      <c r="H750" s="1"/>
      <c r="I750" s="3"/>
      <c r="J750" s="3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2"/>
      <c r="H751" s="1"/>
      <c r="I751" s="3"/>
      <c r="J751" s="3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2"/>
      <c r="H752" s="1"/>
      <c r="I752" s="3"/>
      <c r="J752" s="3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2"/>
      <c r="H753" s="1"/>
      <c r="I753" s="3"/>
      <c r="J753" s="3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2"/>
      <c r="H754" s="1"/>
      <c r="I754" s="3"/>
      <c r="J754" s="3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2"/>
      <c r="H755" s="1"/>
      <c r="I755" s="3"/>
      <c r="J755" s="3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2"/>
      <c r="H756" s="1"/>
      <c r="I756" s="3"/>
      <c r="J756" s="3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2"/>
      <c r="H757" s="1"/>
      <c r="I757" s="3"/>
      <c r="J757" s="3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2"/>
      <c r="H758" s="1"/>
      <c r="I758" s="3"/>
      <c r="J758" s="3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2"/>
      <c r="H759" s="1"/>
      <c r="I759" s="3"/>
      <c r="J759" s="3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2"/>
      <c r="H760" s="1"/>
      <c r="I760" s="3"/>
      <c r="J760" s="3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2"/>
      <c r="H761" s="1"/>
      <c r="I761" s="3"/>
      <c r="J761" s="3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2"/>
      <c r="H762" s="1"/>
      <c r="I762" s="3"/>
      <c r="J762" s="3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2"/>
      <c r="H763" s="1"/>
      <c r="I763" s="3"/>
      <c r="J763" s="3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2"/>
      <c r="H764" s="1"/>
      <c r="I764" s="3"/>
      <c r="J764" s="3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2"/>
      <c r="H765" s="1"/>
      <c r="I765" s="3"/>
      <c r="J765" s="3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2"/>
      <c r="H766" s="1"/>
      <c r="I766" s="3"/>
      <c r="J766" s="3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2"/>
      <c r="H767" s="1"/>
      <c r="I767" s="3"/>
      <c r="J767" s="3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2"/>
      <c r="H768" s="1"/>
      <c r="I768" s="3"/>
      <c r="J768" s="3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2"/>
      <c r="H769" s="1"/>
      <c r="I769" s="3"/>
      <c r="J769" s="3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2"/>
      <c r="H770" s="1"/>
      <c r="I770" s="3"/>
      <c r="J770" s="3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2"/>
      <c r="H771" s="1"/>
      <c r="I771" s="3"/>
      <c r="J771" s="3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2"/>
      <c r="H772" s="1"/>
      <c r="I772" s="3"/>
      <c r="J772" s="3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2"/>
      <c r="H773" s="1"/>
      <c r="I773" s="3"/>
      <c r="J773" s="3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2"/>
      <c r="H774" s="1"/>
      <c r="I774" s="3"/>
      <c r="J774" s="3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2"/>
      <c r="H775" s="1"/>
      <c r="I775" s="3"/>
      <c r="J775" s="3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2"/>
      <c r="H776" s="1"/>
      <c r="I776" s="3"/>
      <c r="J776" s="3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2"/>
      <c r="H777" s="1"/>
      <c r="I777" s="3"/>
      <c r="J777" s="3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2"/>
      <c r="H778" s="1"/>
      <c r="I778" s="3"/>
      <c r="J778" s="3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2"/>
      <c r="H779" s="1"/>
      <c r="I779" s="3"/>
      <c r="J779" s="3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2"/>
      <c r="H780" s="1"/>
      <c r="I780" s="3"/>
      <c r="J780" s="3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2"/>
      <c r="H781" s="1"/>
      <c r="I781" s="3"/>
      <c r="J781" s="3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2"/>
      <c r="H782" s="1"/>
      <c r="I782" s="3"/>
      <c r="J782" s="3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2"/>
      <c r="H783" s="1"/>
      <c r="I783" s="3"/>
      <c r="J783" s="3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2"/>
      <c r="H784" s="1"/>
      <c r="I784" s="3"/>
      <c r="J784" s="3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2"/>
      <c r="H785" s="1"/>
      <c r="I785" s="3"/>
      <c r="J785" s="3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2"/>
      <c r="H786" s="1"/>
      <c r="I786" s="3"/>
      <c r="J786" s="3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2"/>
      <c r="H787" s="1"/>
      <c r="I787" s="3"/>
      <c r="J787" s="3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2"/>
      <c r="H788" s="1"/>
      <c r="I788" s="3"/>
      <c r="J788" s="3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2"/>
      <c r="H789" s="1"/>
      <c r="I789" s="3"/>
      <c r="J789" s="3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2"/>
      <c r="H790" s="1"/>
      <c r="I790" s="3"/>
      <c r="J790" s="3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2"/>
      <c r="H791" s="1"/>
      <c r="I791" s="3"/>
      <c r="J791" s="3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2"/>
      <c r="H792" s="1"/>
      <c r="I792" s="3"/>
      <c r="J792" s="3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2"/>
      <c r="H793" s="1"/>
      <c r="I793" s="3"/>
      <c r="J793" s="3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2"/>
      <c r="H794" s="1"/>
      <c r="I794" s="3"/>
      <c r="J794" s="3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2"/>
      <c r="H795" s="1"/>
      <c r="I795" s="3"/>
      <c r="J795" s="3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2"/>
      <c r="H796" s="1"/>
      <c r="I796" s="3"/>
      <c r="J796" s="3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2"/>
      <c r="H797" s="1"/>
      <c r="I797" s="3"/>
      <c r="J797" s="3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2"/>
      <c r="H798" s="1"/>
      <c r="I798" s="3"/>
      <c r="J798" s="3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2"/>
      <c r="H799" s="1"/>
      <c r="I799" s="3"/>
      <c r="J799" s="3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2"/>
      <c r="H800" s="1"/>
      <c r="I800" s="3"/>
      <c r="J800" s="3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2"/>
      <c r="H801" s="1"/>
      <c r="I801" s="3"/>
      <c r="J801" s="3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2"/>
      <c r="H802" s="1"/>
      <c r="I802" s="3"/>
      <c r="J802" s="3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2"/>
      <c r="H803" s="1"/>
      <c r="I803" s="3"/>
      <c r="J803" s="3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2"/>
      <c r="H804" s="1"/>
      <c r="I804" s="3"/>
      <c r="J804" s="3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2"/>
      <c r="H805" s="1"/>
      <c r="I805" s="3"/>
      <c r="J805" s="3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2"/>
      <c r="H806" s="1"/>
      <c r="I806" s="3"/>
      <c r="J806" s="3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2"/>
      <c r="H807" s="1"/>
      <c r="I807" s="3"/>
      <c r="J807" s="3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2"/>
      <c r="H808" s="1"/>
      <c r="I808" s="3"/>
      <c r="J808" s="3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2"/>
      <c r="H809" s="1"/>
      <c r="I809" s="3"/>
      <c r="J809" s="3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2"/>
      <c r="H810" s="1"/>
      <c r="I810" s="3"/>
      <c r="J810" s="3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2"/>
      <c r="H811" s="1"/>
      <c r="I811" s="3"/>
      <c r="J811" s="3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2"/>
      <c r="H812" s="1"/>
      <c r="I812" s="3"/>
      <c r="J812" s="3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2"/>
      <c r="H813" s="1"/>
      <c r="I813" s="3"/>
      <c r="J813" s="3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2"/>
      <c r="H814" s="1"/>
      <c r="I814" s="3"/>
      <c r="J814" s="3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2"/>
      <c r="H815" s="1"/>
      <c r="I815" s="3"/>
      <c r="J815" s="3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2"/>
      <c r="H816" s="1"/>
      <c r="I816" s="3"/>
      <c r="J816" s="3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2"/>
      <c r="H817" s="1"/>
      <c r="I817" s="3"/>
      <c r="J817" s="3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2"/>
      <c r="H818" s="1"/>
      <c r="I818" s="3"/>
      <c r="J818" s="3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2"/>
      <c r="H819" s="1"/>
      <c r="I819" s="3"/>
      <c r="J819" s="3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2"/>
      <c r="H820" s="1"/>
      <c r="I820" s="3"/>
      <c r="J820" s="3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2"/>
      <c r="H821" s="1"/>
      <c r="I821" s="3"/>
      <c r="J821" s="3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2"/>
      <c r="H822" s="1"/>
      <c r="I822" s="3"/>
      <c r="J822" s="3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2"/>
      <c r="H823" s="1"/>
      <c r="I823" s="3"/>
      <c r="J823" s="3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2"/>
      <c r="H824" s="1"/>
      <c r="I824" s="3"/>
      <c r="J824" s="3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2"/>
      <c r="H825" s="1"/>
      <c r="I825" s="3"/>
      <c r="J825" s="3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2"/>
      <c r="H826" s="1"/>
      <c r="I826" s="3"/>
      <c r="J826" s="3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2"/>
      <c r="H827" s="1"/>
      <c r="I827" s="3"/>
      <c r="J827" s="3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2"/>
      <c r="H828" s="1"/>
      <c r="I828" s="3"/>
      <c r="J828" s="3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2"/>
      <c r="H829" s="1"/>
      <c r="I829" s="3"/>
      <c r="J829" s="3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2"/>
      <c r="H830" s="1"/>
      <c r="I830" s="3"/>
      <c r="J830" s="3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2"/>
      <c r="H831" s="1"/>
      <c r="I831" s="3"/>
      <c r="J831" s="3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2"/>
      <c r="H832" s="1"/>
      <c r="I832" s="3"/>
      <c r="J832" s="3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2"/>
      <c r="H833" s="1"/>
      <c r="I833" s="3"/>
      <c r="J833" s="3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2"/>
      <c r="H834" s="1"/>
      <c r="I834" s="3"/>
      <c r="J834" s="3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2"/>
      <c r="H835" s="1"/>
      <c r="I835" s="3"/>
      <c r="J835" s="3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2"/>
      <c r="H836" s="1"/>
      <c r="I836" s="3"/>
      <c r="J836" s="3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2"/>
      <c r="H837" s="1"/>
      <c r="I837" s="3"/>
      <c r="J837" s="3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2"/>
      <c r="H838" s="1"/>
      <c r="I838" s="3"/>
      <c r="J838" s="3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2"/>
      <c r="H839" s="1"/>
      <c r="I839" s="3"/>
      <c r="J839" s="3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2"/>
      <c r="H840" s="1"/>
      <c r="I840" s="3"/>
      <c r="J840" s="3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2"/>
      <c r="H841" s="1"/>
      <c r="I841" s="3"/>
      <c r="J841" s="3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2"/>
      <c r="H842" s="1"/>
      <c r="I842" s="3"/>
      <c r="J842" s="3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2"/>
      <c r="H843" s="1"/>
      <c r="I843" s="3"/>
      <c r="J843" s="3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2"/>
      <c r="H844" s="1"/>
      <c r="I844" s="3"/>
      <c r="J844" s="3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2"/>
      <c r="H845" s="1"/>
      <c r="I845" s="3"/>
      <c r="J845" s="3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2"/>
      <c r="H846" s="1"/>
      <c r="I846" s="3"/>
      <c r="J846" s="3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2"/>
      <c r="H847" s="1"/>
      <c r="I847" s="3"/>
      <c r="J847" s="3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2"/>
      <c r="H848" s="1"/>
      <c r="I848" s="3"/>
      <c r="J848" s="3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2"/>
      <c r="H849" s="1"/>
      <c r="I849" s="3"/>
      <c r="J849" s="3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2"/>
      <c r="H850" s="1"/>
      <c r="I850" s="3"/>
      <c r="J850" s="3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2"/>
      <c r="H851" s="1"/>
      <c r="I851" s="3"/>
      <c r="J851" s="3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2"/>
      <c r="H852" s="1"/>
      <c r="I852" s="3"/>
      <c r="J852" s="3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2"/>
      <c r="H853" s="1"/>
      <c r="I853" s="3"/>
      <c r="J853" s="3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2"/>
      <c r="H854" s="1"/>
      <c r="I854" s="3"/>
      <c r="J854" s="3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2"/>
      <c r="H855" s="1"/>
      <c r="I855" s="3"/>
      <c r="J855" s="3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2"/>
      <c r="H856" s="1"/>
      <c r="I856" s="3"/>
      <c r="J856" s="3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2"/>
      <c r="H857" s="1"/>
      <c r="I857" s="3"/>
      <c r="J857" s="3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2"/>
      <c r="H858" s="1"/>
      <c r="I858" s="3"/>
      <c r="J858" s="3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2"/>
      <c r="H859" s="1"/>
      <c r="I859" s="3"/>
      <c r="J859" s="3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2"/>
      <c r="H860" s="1"/>
      <c r="I860" s="3"/>
      <c r="J860" s="3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2"/>
      <c r="H861" s="1"/>
      <c r="I861" s="3"/>
      <c r="J861" s="3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2"/>
      <c r="H862" s="1"/>
      <c r="I862" s="3"/>
      <c r="J862" s="3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2"/>
      <c r="H863" s="1"/>
      <c r="I863" s="3"/>
      <c r="J863" s="3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2"/>
      <c r="H864" s="1"/>
      <c r="I864" s="3"/>
      <c r="J864" s="3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2"/>
      <c r="H865" s="1"/>
      <c r="I865" s="3"/>
      <c r="J865" s="3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2"/>
      <c r="H866" s="1"/>
      <c r="I866" s="3"/>
      <c r="J866" s="3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2"/>
      <c r="H867" s="1"/>
      <c r="I867" s="3"/>
      <c r="J867" s="3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2"/>
      <c r="H868" s="1"/>
      <c r="I868" s="3"/>
      <c r="J868" s="3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2"/>
      <c r="H869" s="1"/>
      <c r="I869" s="3"/>
      <c r="J869" s="3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2"/>
      <c r="H870" s="1"/>
      <c r="I870" s="3"/>
      <c r="J870" s="3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2"/>
      <c r="H871" s="1"/>
      <c r="I871" s="3"/>
      <c r="J871" s="3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2"/>
      <c r="H872" s="1"/>
      <c r="I872" s="3"/>
      <c r="J872" s="3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2"/>
      <c r="H873" s="1"/>
      <c r="I873" s="3"/>
      <c r="J873" s="3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2"/>
      <c r="H874" s="1"/>
      <c r="I874" s="3"/>
      <c r="J874" s="3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2"/>
      <c r="H875" s="1"/>
      <c r="I875" s="3"/>
      <c r="J875" s="3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2"/>
      <c r="H876" s="1"/>
      <c r="I876" s="3"/>
      <c r="J876" s="3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2"/>
      <c r="H877" s="1"/>
      <c r="I877" s="3"/>
      <c r="J877" s="3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2"/>
      <c r="H878" s="1"/>
      <c r="I878" s="3"/>
      <c r="J878" s="3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2"/>
      <c r="H879" s="1"/>
      <c r="I879" s="3"/>
      <c r="J879" s="3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2"/>
      <c r="H880" s="1"/>
      <c r="I880" s="3"/>
      <c r="J880" s="3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2"/>
      <c r="H881" s="1"/>
      <c r="I881" s="3"/>
      <c r="J881" s="3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2"/>
      <c r="H882" s="1"/>
      <c r="I882" s="3"/>
      <c r="J882" s="3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2"/>
      <c r="H883" s="1"/>
      <c r="I883" s="3"/>
      <c r="J883" s="3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2"/>
      <c r="H884" s="1"/>
      <c r="I884" s="3"/>
      <c r="J884" s="3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2"/>
      <c r="H885" s="1"/>
      <c r="I885" s="3"/>
      <c r="J885" s="3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2"/>
      <c r="H886" s="1"/>
      <c r="I886" s="3"/>
      <c r="J886" s="3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2"/>
      <c r="H887" s="1"/>
      <c r="I887" s="3"/>
      <c r="J887" s="3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2"/>
      <c r="H888" s="1"/>
      <c r="I888" s="3"/>
      <c r="J888" s="3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2"/>
      <c r="H889" s="1"/>
      <c r="I889" s="3"/>
      <c r="J889" s="3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2"/>
      <c r="H890" s="1"/>
      <c r="I890" s="3"/>
      <c r="J890" s="3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2"/>
      <c r="H891" s="1"/>
      <c r="I891" s="3"/>
      <c r="J891" s="3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2"/>
      <c r="H892" s="1"/>
      <c r="I892" s="3"/>
      <c r="J892" s="3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2"/>
      <c r="H893" s="1"/>
      <c r="I893" s="3"/>
      <c r="J893" s="3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2"/>
      <c r="H894" s="1"/>
      <c r="I894" s="3"/>
      <c r="J894" s="3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2"/>
      <c r="H895" s="1"/>
      <c r="I895" s="3"/>
      <c r="J895" s="3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2"/>
      <c r="H896" s="1"/>
      <c r="I896" s="3"/>
      <c r="J896" s="3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2"/>
      <c r="H897" s="1"/>
      <c r="I897" s="3"/>
      <c r="J897" s="3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2"/>
      <c r="H898" s="1"/>
      <c r="I898" s="3"/>
      <c r="J898" s="3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2"/>
      <c r="H899" s="1"/>
      <c r="I899" s="3"/>
      <c r="J899" s="3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2"/>
      <c r="H900" s="1"/>
      <c r="I900" s="3"/>
      <c r="J900" s="3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2"/>
      <c r="H901" s="1"/>
      <c r="I901" s="3"/>
      <c r="J901" s="3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2"/>
      <c r="H902" s="1"/>
      <c r="I902" s="3"/>
      <c r="J902" s="3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2"/>
      <c r="H903" s="1"/>
      <c r="I903" s="3"/>
      <c r="J903" s="3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2"/>
      <c r="H904" s="1"/>
      <c r="I904" s="3"/>
      <c r="J904" s="3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2"/>
      <c r="H905" s="1"/>
      <c r="I905" s="3"/>
      <c r="J905" s="3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2"/>
      <c r="H906" s="1"/>
      <c r="I906" s="3"/>
      <c r="J906" s="3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2"/>
      <c r="H907" s="1"/>
      <c r="I907" s="3"/>
      <c r="J907" s="3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2"/>
      <c r="H908" s="1"/>
      <c r="I908" s="3"/>
      <c r="J908" s="3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2"/>
      <c r="H909" s="1"/>
      <c r="I909" s="3"/>
      <c r="J909" s="3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2"/>
      <c r="H910" s="1"/>
      <c r="I910" s="3"/>
      <c r="J910" s="3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2"/>
      <c r="H911" s="1"/>
      <c r="I911" s="3"/>
      <c r="J911" s="3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2"/>
      <c r="H912" s="1"/>
      <c r="I912" s="3"/>
      <c r="J912" s="3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2"/>
      <c r="H913" s="1"/>
      <c r="I913" s="3"/>
      <c r="J913" s="3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2"/>
      <c r="H914" s="1"/>
      <c r="I914" s="3"/>
      <c r="J914" s="3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2"/>
      <c r="H915" s="1"/>
      <c r="I915" s="3"/>
      <c r="J915" s="3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2"/>
      <c r="H916" s="1"/>
      <c r="I916" s="3"/>
      <c r="J916" s="3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2"/>
      <c r="H917" s="1"/>
      <c r="I917" s="3"/>
      <c r="J917" s="3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2"/>
      <c r="H918" s="1"/>
      <c r="I918" s="3"/>
      <c r="J918" s="3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2"/>
      <c r="H919" s="1"/>
      <c r="I919" s="3"/>
      <c r="J919" s="3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2"/>
      <c r="H920" s="1"/>
      <c r="I920" s="3"/>
      <c r="J920" s="3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2"/>
      <c r="H921" s="1"/>
      <c r="I921" s="3"/>
      <c r="J921" s="3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2"/>
      <c r="H922" s="1"/>
      <c r="I922" s="3"/>
      <c r="J922" s="3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2"/>
      <c r="H923" s="1"/>
      <c r="I923" s="3"/>
      <c r="J923" s="3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2"/>
      <c r="H924" s="1"/>
      <c r="I924" s="3"/>
      <c r="J924" s="3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2"/>
      <c r="H925" s="1"/>
      <c r="I925" s="3"/>
      <c r="J925" s="3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2"/>
      <c r="H926" s="1"/>
      <c r="I926" s="3"/>
      <c r="J926" s="3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2"/>
      <c r="H927" s="1"/>
      <c r="I927" s="3"/>
      <c r="J927" s="3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2"/>
      <c r="H928" s="1"/>
      <c r="I928" s="3"/>
      <c r="J928" s="3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2"/>
      <c r="H929" s="1"/>
      <c r="I929" s="3"/>
      <c r="J929" s="3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2"/>
      <c r="H930" s="1"/>
      <c r="I930" s="3"/>
      <c r="J930" s="3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2"/>
      <c r="H931" s="1"/>
      <c r="I931" s="3"/>
      <c r="J931" s="3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2"/>
      <c r="H932" s="1"/>
      <c r="I932" s="3"/>
      <c r="J932" s="3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2"/>
      <c r="H933" s="1"/>
      <c r="I933" s="3"/>
      <c r="J933" s="3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2"/>
      <c r="H934" s="1"/>
      <c r="I934" s="3"/>
      <c r="J934" s="3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2"/>
      <c r="H935" s="1"/>
      <c r="I935" s="3"/>
      <c r="J935" s="3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2"/>
      <c r="H936" s="1"/>
      <c r="I936" s="3"/>
      <c r="J936" s="3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2"/>
      <c r="H937" s="1"/>
      <c r="I937" s="3"/>
      <c r="J937" s="3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2"/>
      <c r="H938" s="1"/>
      <c r="I938" s="3"/>
      <c r="J938" s="3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2"/>
      <c r="H939" s="1"/>
      <c r="I939" s="3"/>
      <c r="J939" s="3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2"/>
      <c r="H940" s="1"/>
      <c r="I940" s="3"/>
      <c r="J940" s="3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2"/>
      <c r="H941" s="1"/>
      <c r="I941" s="3"/>
      <c r="J941" s="3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2"/>
      <c r="H942" s="1"/>
      <c r="I942" s="3"/>
      <c r="J942" s="3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2"/>
      <c r="H943" s="1"/>
      <c r="I943" s="3"/>
      <c r="J943" s="3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2"/>
      <c r="H944" s="1"/>
      <c r="I944" s="3"/>
      <c r="J944" s="3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2"/>
      <c r="H945" s="1"/>
      <c r="I945" s="3"/>
      <c r="J945" s="3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2"/>
      <c r="H946" s="1"/>
      <c r="I946" s="3"/>
      <c r="J946" s="3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2"/>
      <c r="H947" s="1"/>
      <c r="I947" s="3"/>
      <c r="J947" s="3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2"/>
      <c r="H948" s="1"/>
      <c r="I948" s="3"/>
      <c r="J948" s="3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2"/>
      <c r="H949" s="1"/>
      <c r="I949" s="3"/>
      <c r="J949" s="3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2"/>
      <c r="H950" s="1"/>
      <c r="I950" s="3"/>
      <c r="J950" s="3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2"/>
      <c r="H951" s="1"/>
      <c r="I951" s="3"/>
      <c r="J951" s="3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2"/>
      <c r="H952" s="1"/>
      <c r="I952" s="3"/>
      <c r="J952" s="3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2"/>
      <c r="H953" s="1"/>
      <c r="I953" s="3"/>
      <c r="J953" s="3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2"/>
      <c r="H954" s="1"/>
      <c r="I954" s="3"/>
      <c r="J954" s="3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2"/>
      <c r="H955" s="1"/>
      <c r="I955" s="3"/>
      <c r="J955" s="3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2"/>
      <c r="H956" s="1"/>
      <c r="I956" s="3"/>
      <c r="J956" s="3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2"/>
      <c r="H957" s="1"/>
      <c r="I957" s="3"/>
      <c r="J957" s="3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2"/>
      <c r="H958" s="1"/>
      <c r="I958" s="3"/>
      <c r="J958" s="3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2"/>
      <c r="H959" s="1"/>
      <c r="I959" s="3"/>
      <c r="J959" s="3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2"/>
      <c r="H960" s="1"/>
      <c r="I960" s="3"/>
      <c r="J960" s="3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2"/>
      <c r="H961" s="1"/>
      <c r="I961" s="3"/>
      <c r="J961" s="3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2"/>
      <c r="H962" s="1"/>
      <c r="I962" s="3"/>
      <c r="J962" s="3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2"/>
      <c r="H963" s="1"/>
      <c r="I963" s="3"/>
      <c r="J963" s="3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2"/>
      <c r="H964" s="1"/>
      <c r="I964" s="3"/>
      <c r="J964" s="3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2"/>
      <c r="H965" s="1"/>
      <c r="I965" s="3"/>
      <c r="J965" s="3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2"/>
      <c r="H966" s="1"/>
      <c r="I966" s="3"/>
      <c r="J966" s="3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2"/>
      <c r="H967" s="1"/>
      <c r="I967" s="3"/>
      <c r="J967" s="3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2"/>
      <c r="H968" s="1"/>
      <c r="I968" s="3"/>
      <c r="J968" s="3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2"/>
      <c r="H969" s="1"/>
      <c r="I969" s="3"/>
      <c r="J969" s="3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2"/>
      <c r="H970" s="1"/>
      <c r="I970" s="3"/>
      <c r="J970" s="3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2"/>
      <c r="H971" s="1"/>
      <c r="I971" s="3"/>
      <c r="J971" s="3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2"/>
      <c r="H972" s="1"/>
      <c r="I972" s="3"/>
      <c r="J972" s="3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2"/>
      <c r="H973" s="1"/>
      <c r="I973" s="3"/>
      <c r="J973" s="3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2"/>
      <c r="H974" s="1"/>
      <c r="I974" s="3"/>
      <c r="J974" s="3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2"/>
      <c r="H975" s="1"/>
      <c r="I975" s="3"/>
      <c r="J975" s="3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2"/>
      <c r="H976" s="1"/>
      <c r="I976" s="3"/>
      <c r="J976" s="3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2"/>
      <c r="H977" s="1"/>
      <c r="I977" s="3"/>
      <c r="J977" s="3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2"/>
      <c r="H978" s="1"/>
      <c r="I978" s="3"/>
      <c r="J978" s="3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2"/>
      <c r="H979" s="1"/>
      <c r="I979" s="3"/>
      <c r="J979" s="3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2"/>
      <c r="H980" s="1"/>
      <c r="I980" s="3"/>
      <c r="J980" s="3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2"/>
      <c r="H981" s="1"/>
      <c r="I981" s="3"/>
      <c r="J981" s="3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2"/>
      <c r="H982" s="1"/>
      <c r="I982" s="3"/>
      <c r="J982" s="3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2"/>
      <c r="H983" s="1"/>
      <c r="I983" s="3"/>
      <c r="J983" s="3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2"/>
      <c r="H984" s="1"/>
      <c r="I984" s="3"/>
      <c r="J984" s="3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2"/>
      <c r="H985" s="1"/>
      <c r="I985" s="3"/>
      <c r="J985" s="3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2"/>
      <c r="H986" s="1"/>
      <c r="I986" s="3"/>
      <c r="J986" s="3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2"/>
      <c r="H987" s="1"/>
      <c r="I987" s="3"/>
      <c r="J987" s="3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2"/>
      <c r="H988" s="1"/>
      <c r="I988" s="3"/>
      <c r="J988" s="3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2"/>
      <c r="H989" s="1"/>
      <c r="I989" s="3"/>
      <c r="J989" s="3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2"/>
      <c r="H990" s="1"/>
      <c r="I990" s="3"/>
      <c r="J990" s="3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2"/>
      <c r="H991" s="1"/>
      <c r="I991" s="3"/>
      <c r="J991" s="3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2"/>
      <c r="H992" s="1"/>
      <c r="I992" s="3"/>
      <c r="J992" s="3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2"/>
      <c r="H993" s="1"/>
      <c r="I993" s="3"/>
      <c r="J993" s="3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2"/>
      <c r="H994" s="1"/>
      <c r="I994" s="3"/>
      <c r="J994" s="3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2"/>
      <c r="H995" s="1"/>
      <c r="I995" s="3"/>
      <c r="J995" s="3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2"/>
      <c r="H996" s="1"/>
      <c r="I996" s="3"/>
      <c r="J996" s="3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2"/>
      <c r="H997" s="1"/>
      <c r="I997" s="3"/>
      <c r="J997" s="3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2"/>
      <c r="H998" s="1"/>
      <c r="I998" s="3"/>
      <c r="J998" s="3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2"/>
      <c r="H999" s="1"/>
      <c r="I999" s="3"/>
      <c r="J999" s="3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</sheetData>
  <mergeCells count="7">
    <mergeCell ref="A2:H2"/>
    <mergeCell ref="F9:H9"/>
    <mergeCell ref="C11:E11"/>
    <mergeCell ref="H95:I96"/>
    <mergeCell ref="B98:C98"/>
    <mergeCell ref="E98:F98"/>
    <mergeCell ref="H98:I98"/>
  </mergeCells>
  <conditionalFormatting sqref="D7">
    <cfRule type="expression" dxfId="7" priority="2">
      <formula>ISEVEN(ROW(D7))</formula>
    </cfRule>
  </conditionalFormatting>
  <conditionalFormatting sqref="C7">
    <cfRule type="expression" dxfId="6" priority="3">
      <formula>ISEVEN(ROW(C7))</formula>
    </cfRule>
  </conditionalFormatting>
  <conditionalFormatting sqref="C7">
    <cfRule type="expression" dxfId="5" priority="4">
      <formula>ISEVEN(ROW(C7))</formula>
    </cfRule>
  </conditionalFormatting>
  <printOptions horizontalCentered="1"/>
  <pageMargins left="0.23622047244094491" right="0.23622047244094491" top="0.74803149606299213" bottom="0.74803149606299213" header="0" footer="0"/>
  <pageSetup paperSize="9" scale="5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FB97175-F991-4DC3-AD60-565AC9773AA4}">
            <xm:f>AND(NSG!$J$14=1)</xm:f>
            <x14:dxf>
              <numFmt numFmtId="164" formatCode="_-[$USD]\ * #,##0.00_-;\-[$USD]\ * #,##0.00_-;_-[$USD]\ * &quot;-&quot;??_-;_-@_-"/>
            </x14:dxf>
          </x14:cfRule>
          <xm:sqref>H14:H54 F95:F96 C99:C101 F99:F101 I99:I101 C57:F94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3783C-B14D-4DB8-8FE6-2ED38808B970}">
  <sheetPr codeName="Hoja2">
    <tabColor rgb="FFFF0000"/>
    <pageSetUpPr fitToPage="1"/>
  </sheetPr>
  <dimension ref="A1:AA1007"/>
  <sheetViews>
    <sheetView showGridLines="0" zoomScaleNormal="100" workbookViewId="0">
      <selection activeCell="H105" sqref="H105"/>
    </sheetView>
  </sheetViews>
  <sheetFormatPr baseColWidth="10" defaultColWidth="14.42578125" defaultRowHeight="15" customHeight="1" outlineLevelRow="1" outlineLevelCol="1"/>
  <cols>
    <col min="1" max="1" width="11.42578125" style="4" customWidth="1"/>
    <col min="2" max="2" width="17.140625" style="4" customWidth="1"/>
    <col min="3" max="3" width="22.7109375" style="4" customWidth="1"/>
    <col min="4" max="4" width="17" style="4" customWidth="1"/>
    <col min="5" max="5" width="17.42578125" style="4" customWidth="1"/>
    <col min="6" max="6" width="28.140625" style="4" customWidth="1"/>
    <col min="7" max="7" width="25.7109375" style="4" customWidth="1"/>
    <col min="8" max="8" width="23.7109375" style="4" customWidth="1"/>
    <col min="9" max="9" width="16.140625" style="4" customWidth="1"/>
    <col min="10" max="10" width="17.42578125" style="4" customWidth="1"/>
    <col min="11" max="11" width="18.42578125" style="4" customWidth="1"/>
    <col min="12" max="12" width="16.7109375" style="4" customWidth="1"/>
    <col min="13" max="13" width="18.7109375" style="4" customWidth="1"/>
    <col min="14" max="14" width="18.140625" style="4" customWidth="1" outlineLevel="1"/>
    <col min="15" max="15" width="26.42578125" style="4" customWidth="1"/>
    <col min="16" max="16" width="26.7109375" style="4" customWidth="1"/>
    <col min="17" max="17" width="20.140625" style="4" customWidth="1"/>
    <col min="18" max="26" width="10.7109375" style="4" customWidth="1"/>
    <col min="27" max="16384" width="14.42578125" style="4"/>
  </cols>
  <sheetData>
    <row r="1" spans="1:26" ht="12.75" customHeight="1">
      <c r="A1" s="70"/>
      <c r="B1" s="70"/>
      <c r="C1" s="70"/>
      <c r="D1" s="70"/>
      <c r="E1" s="70"/>
      <c r="F1" s="70"/>
      <c r="G1" s="70"/>
      <c r="H1" s="70"/>
      <c r="I1" s="70"/>
      <c r="J1" s="70"/>
      <c r="K1" s="71"/>
      <c r="L1" s="70"/>
      <c r="M1" s="70"/>
      <c r="N1" s="70"/>
      <c r="O1" s="70"/>
      <c r="P1" s="70"/>
      <c r="Q1" s="70" t="s">
        <v>34</v>
      </c>
      <c r="R1" s="70"/>
      <c r="S1" s="70"/>
      <c r="T1" s="70"/>
      <c r="U1" s="70"/>
      <c r="V1" s="70"/>
      <c r="W1" s="70"/>
      <c r="X1" s="70"/>
      <c r="Y1" s="70"/>
      <c r="Z1" s="70"/>
    </row>
    <row r="2" spans="1:26" ht="30" customHeight="1">
      <c r="A2" s="305" t="s">
        <v>35</v>
      </c>
      <c r="B2" s="269"/>
      <c r="C2" s="269"/>
      <c r="D2" s="269"/>
      <c r="E2" s="269"/>
      <c r="F2" s="269"/>
      <c r="G2" s="269"/>
      <c r="H2" s="269"/>
      <c r="I2" s="72"/>
      <c r="J2" s="73"/>
      <c r="K2" s="74"/>
      <c r="L2" s="73"/>
      <c r="M2" s="75"/>
      <c r="N2" s="75"/>
      <c r="O2" s="75"/>
      <c r="P2" s="73"/>
      <c r="Q2" s="73" t="s">
        <v>36</v>
      </c>
      <c r="R2" s="73"/>
      <c r="S2" s="73"/>
      <c r="T2" s="73"/>
      <c r="U2" s="73"/>
      <c r="V2" s="73"/>
      <c r="W2" s="73"/>
      <c r="X2" s="73"/>
      <c r="Y2" s="73"/>
      <c r="Z2" s="73"/>
    </row>
    <row r="3" spans="1:26" ht="12.75" customHeight="1">
      <c r="A3" s="76"/>
      <c r="B3" s="76"/>
      <c r="C3" s="76"/>
      <c r="D3" s="76"/>
      <c r="E3" s="76"/>
      <c r="F3" s="76"/>
      <c r="G3" s="76"/>
      <c r="H3" s="76"/>
      <c r="I3" s="76"/>
      <c r="J3" s="70"/>
      <c r="K3" s="71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1:26" ht="12.75" customHeight="1">
      <c r="A4" s="77" t="s">
        <v>37</v>
      </c>
      <c r="B4" s="78"/>
      <c r="C4" s="79"/>
      <c r="D4" s="80"/>
      <c r="E4" s="78"/>
      <c r="F4" s="81"/>
      <c r="G4" s="78"/>
      <c r="H4" s="78"/>
      <c r="I4" s="78"/>
      <c r="J4" s="78"/>
      <c r="K4" s="82"/>
      <c r="L4" s="78"/>
      <c r="M4" s="78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</row>
    <row r="5" spans="1:26" ht="12.75" customHeight="1">
      <c r="A5" s="77" t="s">
        <v>1</v>
      </c>
      <c r="B5" s="78"/>
      <c r="C5" s="306" t="s">
        <v>101</v>
      </c>
      <c r="D5" s="307"/>
      <c r="E5" s="308"/>
      <c r="F5" s="78"/>
      <c r="G5" s="78"/>
      <c r="H5" s="78"/>
      <c r="I5" s="78"/>
      <c r="J5" s="78"/>
      <c r="K5" s="82"/>
      <c r="L5" s="78"/>
      <c r="M5" s="78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</row>
    <row r="6" spans="1:26" ht="12.75" customHeight="1">
      <c r="A6" s="77" t="s">
        <v>2</v>
      </c>
      <c r="B6" s="78"/>
      <c r="C6" s="84">
        <v>20603718489</v>
      </c>
      <c r="D6" s="78"/>
      <c r="E6" s="78"/>
      <c r="F6" s="78"/>
      <c r="G6" s="78"/>
      <c r="H6" s="78"/>
      <c r="I6" s="78"/>
      <c r="J6" s="78"/>
      <c r="K6" s="82"/>
      <c r="L6" s="78"/>
      <c r="M6" s="78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</row>
    <row r="7" spans="1:26" ht="12.75" customHeight="1">
      <c r="A7" s="85" t="s">
        <v>3</v>
      </c>
      <c r="B7" s="78"/>
      <c r="C7" s="309" t="s">
        <v>38</v>
      </c>
      <c r="D7" s="310"/>
      <c r="E7" s="311"/>
      <c r="F7" s="78"/>
      <c r="G7" s="85"/>
      <c r="H7" s="78"/>
      <c r="I7" s="78"/>
      <c r="J7" s="78"/>
      <c r="K7" s="82"/>
      <c r="L7" s="78"/>
      <c r="M7" s="78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</row>
    <row r="8" spans="1:26" ht="12.75" customHeight="1">
      <c r="A8" s="85"/>
      <c r="B8" s="78"/>
      <c r="C8" s="86"/>
      <c r="D8" s="86"/>
      <c r="E8" s="86"/>
      <c r="F8" s="78"/>
      <c r="G8" s="85"/>
      <c r="H8" s="78"/>
      <c r="I8" s="78"/>
      <c r="J8" s="78"/>
      <c r="K8" s="82"/>
      <c r="L8" s="78"/>
      <c r="M8" s="78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</row>
    <row r="9" spans="1:26" ht="12.75" customHeight="1">
      <c r="A9" s="87"/>
      <c r="B9" s="88"/>
      <c r="C9" s="87"/>
      <c r="D9" s="87"/>
      <c r="E9" s="89" t="s">
        <v>39</v>
      </c>
      <c r="F9" s="263">
        <v>8</v>
      </c>
      <c r="G9" s="90"/>
      <c r="H9" s="91"/>
      <c r="I9" s="91"/>
      <c r="J9" s="92" t="s">
        <v>34</v>
      </c>
      <c r="K9" s="93"/>
      <c r="L9" s="93"/>
      <c r="M9" s="93"/>
      <c r="N9" s="9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</row>
    <row r="10" spans="1:26" ht="12.75" customHeight="1">
      <c r="A10" s="87"/>
      <c r="B10" s="88"/>
      <c r="C10" s="87"/>
      <c r="D10" s="87"/>
      <c r="E10" s="90" t="s">
        <v>5</v>
      </c>
      <c r="F10" s="312">
        <v>45813</v>
      </c>
      <c r="G10" s="312"/>
      <c r="H10" s="312"/>
      <c r="I10" s="312"/>
      <c r="J10" s="92" t="s">
        <v>36</v>
      </c>
      <c r="K10" s="93"/>
      <c r="L10" s="93"/>
      <c r="M10" s="93"/>
      <c r="N10" s="9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</row>
    <row r="11" spans="1:26" ht="12.75" customHeight="1" thickBot="1">
      <c r="A11" s="94"/>
      <c r="B11" s="95"/>
      <c r="C11" s="94"/>
      <c r="D11" s="94"/>
      <c r="E11" s="94"/>
      <c r="F11" s="94"/>
      <c r="G11" s="96"/>
      <c r="H11" s="97"/>
      <c r="I11" s="97"/>
      <c r="J11" s="96"/>
      <c r="K11" s="98"/>
      <c r="L11" s="99"/>
      <c r="M11" s="99"/>
      <c r="N11" s="10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</row>
    <row r="12" spans="1:26" ht="12.75" customHeight="1" thickBot="1">
      <c r="A12" s="101"/>
      <c r="B12" s="102"/>
      <c r="C12" s="103" t="s">
        <v>6</v>
      </c>
      <c r="D12" s="104"/>
      <c r="E12" s="105"/>
      <c r="F12" s="105"/>
      <c r="G12" s="106">
        <f>MAX(H12*C95,I13)</f>
        <v>37.177692418364011</v>
      </c>
      <c r="H12" s="107">
        <v>5.0000000000000001E-3</v>
      </c>
      <c r="I12" s="108"/>
      <c r="J12" s="101"/>
      <c r="K12" s="74"/>
      <c r="L12" s="73"/>
      <c r="M12" s="73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</row>
    <row r="13" spans="1:26" ht="12.75" customHeight="1">
      <c r="A13" s="101"/>
      <c r="B13" s="101"/>
      <c r="C13" s="101"/>
      <c r="D13" s="101"/>
      <c r="E13" s="109"/>
      <c r="F13" s="109"/>
      <c r="G13" s="101" t="s">
        <v>40</v>
      </c>
      <c r="H13" s="110">
        <v>0</v>
      </c>
      <c r="I13" s="111">
        <f>H13*J14</f>
        <v>0</v>
      </c>
      <c r="J13" s="112"/>
      <c r="K13" s="74"/>
      <c r="L13" s="73"/>
      <c r="M13" s="73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</row>
    <row r="14" spans="1:26" ht="12.75" customHeight="1">
      <c r="A14" s="101"/>
      <c r="B14" s="101"/>
      <c r="C14" s="101"/>
      <c r="D14" s="101"/>
      <c r="E14" s="109"/>
      <c r="F14" s="109"/>
      <c r="G14" s="101"/>
      <c r="H14" s="113"/>
      <c r="I14" s="113"/>
      <c r="J14" s="114">
        <v>4</v>
      </c>
      <c r="K14" s="74"/>
      <c r="L14" s="73"/>
      <c r="M14" s="73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</row>
    <row r="15" spans="1:26" ht="51.75" customHeight="1">
      <c r="A15" s="109"/>
      <c r="B15" s="115" t="s">
        <v>7</v>
      </c>
      <c r="C15" s="115" t="s">
        <v>41</v>
      </c>
      <c r="D15" s="115" t="s">
        <v>42</v>
      </c>
      <c r="E15" s="115" t="s">
        <v>8</v>
      </c>
      <c r="F15" s="115" t="s">
        <v>43</v>
      </c>
      <c r="G15" s="115" t="s">
        <v>11</v>
      </c>
      <c r="H15" s="116" t="s">
        <v>12</v>
      </c>
      <c r="I15" s="116" t="s">
        <v>44</v>
      </c>
      <c r="J15" s="116" t="s">
        <v>45</v>
      </c>
      <c r="K15" s="117" t="s">
        <v>46</v>
      </c>
      <c r="L15" s="118" t="s">
        <v>47</v>
      </c>
      <c r="M15" s="119" t="s">
        <v>48</v>
      </c>
      <c r="N15" s="120" t="s">
        <v>49</v>
      </c>
      <c r="O15" s="121"/>
      <c r="P15" s="122"/>
      <c r="Q15" s="121"/>
      <c r="R15" s="121"/>
      <c r="S15" s="121"/>
      <c r="T15" s="121"/>
      <c r="U15" s="121"/>
      <c r="V15" s="121"/>
      <c r="W15" s="121"/>
      <c r="X15" s="121"/>
      <c r="Y15" s="121"/>
      <c r="Z15" s="121"/>
    </row>
    <row r="16" spans="1:26" ht="33" customHeight="1">
      <c r="A16" s="101">
        <v>1</v>
      </c>
      <c r="B16" s="261">
        <v>667</v>
      </c>
      <c r="C16" s="123">
        <v>45805</v>
      </c>
      <c r="D16" s="124">
        <v>58</v>
      </c>
      <c r="E16" s="125">
        <f t="shared" ref="E16:E53" si="0">IF(OR($C16="",$D16=""),"",+$C16+$D16)</f>
        <v>45863</v>
      </c>
      <c r="F16" s="126">
        <f>IF(E16="","",(MAX(+E16-$F$10,15)))</f>
        <v>50</v>
      </c>
      <c r="G16" s="127" t="str">
        <f t="shared" ref="G16:G53" si="1">IF(OR($C$5="",$B16=""),"",+$C$5)</f>
        <v>TRANSPORTES SANTA FE DEL NORTE SAC</v>
      </c>
      <c r="H16" s="258" t="s">
        <v>100</v>
      </c>
      <c r="I16" s="129" t="s">
        <v>34</v>
      </c>
      <c r="J16" s="130">
        <v>7906</v>
      </c>
      <c r="K16" s="131">
        <f t="shared" ref="K16:K53" si="2">IF(I16="pen",+J16,+J16*$J$14)</f>
        <v>7906</v>
      </c>
      <c r="L16" s="265">
        <v>3.9969643308879345E-2</v>
      </c>
      <c r="M16" s="133">
        <f>+$K16*(1-$L16)</f>
        <v>7590</v>
      </c>
      <c r="N16" s="134">
        <f>IF(I16="USD",+J16-(J16*L16),0)</f>
        <v>0</v>
      </c>
      <c r="O16" s="135"/>
      <c r="P16" s="136"/>
      <c r="Q16" s="70"/>
      <c r="R16" s="70"/>
      <c r="S16" s="70"/>
      <c r="T16" s="70"/>
      <c r="U16" s="70"/>
      <c r="V16" s="70"/>
      <c r="W16" s="70"/>
      <c r="X16" s="70"/>
      <c r="Y16" s="70"/>
      <c r="Z16" s="70"/>
    </row>
    <row r="17" spans="1:26" ht="34.5" hidden="1" customHeight="1" outlineLevel="1">
      <c r="A17" s="101">
        <v>2</v>
      </c>
      <c r="B17" s="251"/>
      <c r="C17" s="123"/>
      <c r="D17" s="124"/>
      <c r="E17" s="125" t="str">
        <f t="shared" si="0"/>
        <v/>
      </c>
      <c r="F17" s="126" t="str">
        <f t="shared" ref="F17:F53" si="3">IF(E17="","",(MAX(+E17-$F$10,15)))</f>
        <v/>
      </c>
      <c r="G17" s="127" t="str">
        <f t="shared" si="1"/>
        <v/>
      </c>
      <c r="H17" s="258"/>
      <c r="I17" s="129"/>
      <c r="J17" s="130"/>
      <c r="K17" s="131">
        <f t="shared" si="2"/>
        <v>0</v>
      </c>
      <c r="L17" s="259"/>
      <c r="M17" s="133">
        <f>+$K17*(1-$L17)</f>
        <v>0</v>
      </c>
      <c r="N17" s="134">
        <f t="shared" ref="N17:N53" si="4">IF(I17="USD",+J17-(J17*L17),0)</f>
        <v>0</v>
      </c>
      <c r="O17" s="135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</row>
    <row r="18" spans="1:26" ht="34.5" hidden="1" customHeight="1" outlineLevel="1">
      <c r="A18" s="101">
        <v>3</v>
      </c>
      <c r="B18" s="251"/>
      <c r="C18" s="123"/>
      <c r="D18" s="124"/>
      <c r="E18" s="125" t="str">
        <f t="shared" si="0"/>
        <v/>
      </c>
      <c r="F18" s="126" t="str">
        <f t="shared" si="3"/>
        <v/>
      </c>
      <c r="G18" s="127" t="str">
        <f t="shared" si="1"/>
        <v/>
      </c>
      <c r="H18" s="258"/>
      <c r="I18" s="129"/>
      <c r="J18" s="130"/>
      <c r="K18" s="131">
        <f t="shared" si="2"/>
        <v>0</v>
      </c>
      <c r="L18" s="259"/>
      <c r="M18" s="133">
        <f t="shared" ref="M18:M53" si="5">+$K18*(1-$L18)</f>
        <v>0</v>
      </c>
      <c r="N18" s="134">
        <f t="shared" si="4"/>
        <v>0</v>
      </c>
      <c r="O18" s="135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</row>
    <row r="19" spans="1:26" ht="34.5" hidden="1" customHeight="1" outlineLevel="1">
      <c r="A19" s="101">
        <v>4</v>
      </c>
      <c r="B19" s="251"/>
      <c r="C19" s="123"/>
      <c r="D19" s="124"/>
      <c r="E19" s="125" t="str">
        <f t="shared" si="0"/>
        <v/>
      </c>
      <c r="F19" s="126" t="str">
        <f t="shared" si="3"/>
        <v/>
      </c>
      <c r="G19" s="127" t="str">
        <f t="shared" si="1"/>
        <v/>
      </c>
      <c r="H19" s="258"/>
      <c r="I19" s="129"/>
      <c r="J19" s="130"/>
      <c r="K19" s="131">
        <f t="shared" si="2"/>
        <v>0</v>
      </c>
      <c r="L19" s="259"/>
      <c r="M19" s="133">
        <f t="shared" si="5"/>
        <v>0</v>
      </c>
      <c r="N19" s="134">
        <f t="shared" si="4"/>
        <v>0</v>
      </c>
      <c r="O19" s="135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</row>
    <row r="20" spans="1:26" ht="34.5" hidden="1" customHeight="1" outlineLevel="1">
      <c r="A20" s="101">
        <v>5</v>
      </c>
      <c r="B20" s="251"/>
      <c r="C20" s="123"/>
      <c r="D20" s="124"/>
      <c r="E20" s="125" t="str">
        <f t="shared" si="0"/>
        <v/>
      </c>
      <c r="F20" s="126" t="str">
        <f t="shared" si="3"/>
        <v/>
      </c>
      <c r="G20" s="127" t="str">
        <f t="shared" si="1"/>
        <v/>
      </c>
      <c r="H20" s="258"/>
      <c r="I20" s="129"/>
      <c r="J20" s="130"/>
      <c r="K20" s="131">
        <f t="shared" si="2"/>
        <v>0</v>
      </c>
      <c r="L20" s="259"/>
      <c r="M20" s="133">
        <f t="shared" si="5"/>
        <v>0</v>
      </c>
      <c r="N20" s="134">
        <f t="shared" si="4"/>
        <v>0</v>
      </c>
      <c r="O20" s="135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</row>
    <row r="21" spans="1:26" ht="34.5" hidden="1" customHeight="1" outlineLevel="1">
      <c r="A21" s="101">
        <v>6</v>
      </c>
      <c r="B21" s="251"/>
      <c r="C21" s="123"/>
      <c r="D21" s="124"/>
      <c r="E21" s="125" t="str">
        <f t="shared" si="0"/>
        <v/>
      </c>
      <c r="F21" s="126" t="str">
        <f t="shared" si="3"/>
        <v/>
      </c>
      <c r="G21" s="127" t="str">
        <f t="shared" si="1"/>
        <v/>
      </c>
      <c r="H21" s="258"/>
      <c r="I21" s="129"/>
      <c r="J21" s="130"/>
      <c r="K21" s="131">
        <f t="shared" si="2"/>
        <v>0</v>
      </c>
      <c r="L21" s="259"/>
      <c r="M21" s="133">
        <f t="shared" si="5"/>
        <v>0</v>
      </c>
      <c r="N21" s="134">
        <f t="shared" si="4"/>
        <v>0</v>
      </c>
      <c r="O21" s="135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</row>
    <row r="22" spans="1:26" ht="34.5" hidden="1" customHeight="1" outlineLevel="1">
      <c r="A22" s="101">
        <v>7</v>
      </c>
      <c r="B22" s="251"/>
      <c r="C22" s="123"/>
      <c r="D22" s="124"/>
      <c r="E22" s="125" t="str">
        <f t="shared" si="0"/>
        <v/>
      </c>
      <c r="F22" s="126" t="str">
        <f t="shared" si="3"/>
        <v/>
      </c>
      <c r="G22" s="127" t="str">
        <f t="shared" si="1"/>
        <v/>
      </c>
      <c r="H22" s="258"/>
      <c r="I22" s="129"/>
      <c r="J22" s="130"/>
      <c r="K22" s="131">
        <f t="shared" si="2"/>
        <v>0</v>
      </c>
      <c r="L22" s="259"/>
      <c r="M22" s="133">
        <f t="shared" si="5"/>
        <v>0</v>
      </c>
      <c r="N22" s="134">
        <f t="shared" si="4"/>
        <v>0</v>
      </c>
      <c r="O22" s="135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</row>
    <row r="23" spans="1:26" ht="34.5" hidden="1" customHeight="1" outlineLevel="1">
      <c r="A23" s="101">
        <v>8</v>
      </c>
      <c r="B23" s="251"/>
      <c r="C23" s="123"/>
      <c r="D23" s="124"/>
      <c r="E23" s="125" t="str">
        <f t="shared" si="0"/>
        <v/>
      </c>
      <c r="F23" s="126" t="str">
        <f t="shared" si="3"/>
        <v/>
      </c>
      <c r="G23" s="127" t="str">
        <f t="shared" si="1"/>
        <v/>
      </c>
      <c r="H23" s="128"/>
      <c r="I23" s="129"/>
      <c r="J23" s="130"/>
      <c r="K23" s="131">
        <f t="shared" si="2"/>
        <v>0</v>
      </c>
      <c r="L23" s="132"/>
      <c r="M23" s="133">
        <f t="shared" si="5"/>
        <v>0</v>
      </c>
      <c r="N23" s="134">
        <f t="shared" si="4"/>
        <v>0</v>
      </c>
      <c r="O23" s="135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</row>
    <row r="24" spans="1:26" ht="34.5" hidden="1" customHeight="1" outlineLevel="1">
      <c r="A24" s="101">
        <v>9</v>
      </c>
      <c r="B24" s="251"/>
      <c r="C24" s="123"/>
      <c r="D24" s="124"/>
      <c r="E24" s="125" t="str">
        <f t="shared" si="0"/>
        <v/>
      </c>
      <c r="F24" s="126" t="str">
        <f t="shared" si="3"/>
        <v/>
      </c>
      <c r="G24" s="127" t="str">
        <f t="shared" si="1"/>
        <v/>
      </c>
      <c r="H24" s="128"/>
      <c r="I24" s="129"/>
      <c r="J24" s="130"/>
      <c r="K24" s="131">
        <f t="shared" si="2"/>
        <v>0</v>
      </c>
      <c r="L24" s="132">
        <v>0</v>
      </c>
      <c r="M24" s="133">
        <f t="shared" si="5"/>
        <v>0</v>
      </c>
      <c r="N24" s="134">
        <f t="shared" si="4"/>
        <v>0</v>
      </c>
      <c r="O24" s="135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</row>
    <row r="25" spans="1:26" ht="34.5" hidden="1" customHeight="1" outlineLevel="1">
      <c r="A25" s="101">
        <v>10</v>
      </c>
      <c r="B25" s="251"/>
      <c r="C25" s="123"/>
      <c r="D25" s="124"/>
      <c r="E25" s="125" t="str">
        <f t="shared" si="0"/>
        <v/>
      </c>
      <c r="F25" s="126" t="str">
        <f t="shared" si="3"/>
        <v/>
      </c>
      <c r="G25" s="127" t="str">
        <f t="shared" si="1"/>
        <v/>
      </c>
      <c r="H25" s="128"/>
      <c r="I25" s="129"/>
      <c r="J25" s="130"/>
      <c r="K25" s="131">
        <f t="shared" si="2"/>
        <v>0</v>
      </c>
      <c r="L25" s="132">
        <v>0</v>
      </c>
      <c r="M25" s="133">
        <f t="shared" si="5"/>
        <v>0</v>
      </c>
      <c r="N25" s="134">
        <f t="shared" si="4"/>
        <v>0</v>
      </c>
      <c r="O25" s="135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</row>
    <row r="26" spans="1:26" ht="34.5" hidden="1" customHeight="1" outlineLevel="1">
      <c r="A26" s="101">
        <v>11</v>
      </c>
      <c r="B26" s="251"/>
      <c r="C26" s="123"/>
      <c r="D26" s="124"/>
      <c r="E26" s="125" t="str">
        <f t="shared" si="0"/>
        <v/>
      </c>
      <c r="F26" s="126" t="str">
        <f t="shared" si="3"/>
        <v/>
      </c>
      <c r="G26" s="127" t="str">
        <f t="shared" si="1"/>
        <v/>
      </c>
      <c r="H26" s="128"/>
      <c r="I26" s="129"/>
      <c r="J26" s="130"/>
      <c r="K26" s="131">
        <f t="shared" si="2"/>
        <v>0</v>
      </c>
      <c r="L26" s="132">
        <v>0</v>
      </c>
      <c r="M26" s="133">
        <f t="shared" si="5"/>
        <v>0</v>
      </c>
      <c r="N26" s="134">
        <f t="shared" si="4"/>
        <v>0</v>
      </c>
      <c r="O26" s="135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</row>
    <row r="27" spans="1:26" ht="34.5" hidden="1" customHeight="1" outlineLevel="1">
      <c r="A27" s="101">
        <v>12</v>
      </c>
      <c r="B27" s="251"/>
      <c r="C27" s="123"/>
      <c r="D27" s="124"/>
      <c r="E27" s="125" t="str">
        <f t="shared" si="0"/>
        <v/>
      </c>
      <c r="F27" s="126" t="str">
        <f t="shared" si="3"/>
        <v/>
      </c>
      <c r="G27" s="127" t="str">
        <f t="shared" si="1"/>
        <v/>
      </c>
      <c r="H27" s="128"/>
      <c r="I27" s="129"/>
      <c r="J27" s="130"/>
      <c r="K27" s="131">
        <f t="shared" si="2"/>
        <v>0</v>
      </c>
      <c r="L27" s="132">
        <v>0</v>
      </c>
      <c r="M27" s="133">
        <f t="shared" si="5"/>
        <v>0</v>
      </c>
      <c r="N27" s="134">
        <f t="shared" si="4"/>
        <v>0</v>
      </c>
      <c r="O27" s="135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</row>
    <row r="28" spans="1:26" ht="34.5" hidden="1" customHeight="1" outlineLevel="1">
      <c r="A28" s="101">
        <v>13</v>
      </c>
      <c r="B28" s="251"/>
      <c r="C28" s="123"/>
      <c r="D28" s="124"/>
      <c r="E28" s="125" t="str">
        <f t="shared" si="0"/>
        <v/>
      </c>
      <c r="F28" s="126" t="str">
        <f t="shared" si="3"/>
        <v/>
      </c>
      <c r="G28" s="127" t="str">
        <f t="shared" si="1"/>
        <v/>
      </c>
      <c r="H28" s="128"/>
      <c r="I28" s="129"/>
      <c r="J28" s="130"/>
      <c r="K28" s="131">
        <f t="shared" si="2"/>
        <v>0</v>
      </c>
      <c r="L28" s="132">
        <v>0</v>
      </c>
      <c r="M28" s="133">
        <f t="shared" si="5"/>
        <v>0</v>
      </c>
      <c r="N28" s="134">
        <f t="shared" si="4"/>
        <v>0</v>
      </c>
      <c r="O28" s="135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</row>
    <row r="29" spans="1:26" ht="34.5" hidden="1" customHeight="1" outlineLevel="1">
      <c r="A29" s="101">
        <v>14</v>
      </c>
      <c r="B29" s="251"/>
      <c r="C29" s="123"/>
      <c r="D29" s="124"/>
      <c r="E29" s="125" t="str">
        <f t="shared" si="0"/>
        <v/>
      </c>
      <c r="F29" s="126" t="str">
        <f t="shared" si="3"/>
        <v/>
      </c>
      <c r="G29" s="127" t="str">
        <f t="shared" si="1"/>
        <v/>
      </c>
      <c r="H29" s="128"/>
      <c r="I29" s="129"/>
      <c r="J29" s="130"/>
      <c r="K29" s="131">
        <f t="shared" si="2"/>
        <v>0</v>
      </c>
      <c r="L29" s="132">
        <v>0</v>
      </c>
      <c r="M29" s="133">
        <f t="shared" si="5"/>
        <v>0</v>
      </c>
      <c r="N29" s="134">
        <f t="shared" si="4"/>
        <v>0</v>
      </c>
      <c r="O29" s="135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</row>
    <row r="30" spans="1:26" ht="34.5" hidden="1" customHeight="1" outlineLevel="1">
      <c r="A30" s="101">
        <v>15</v>
      </c>
      <c r="B30" s="251"/>
      <c r="C30" s="123"/>
      <c r="D30" s="124"/>
      <c r="E30" s="125" t="str">
        <f t="shared" si="0"/>
        <v/>
      </c>
      <c r="F30" s="126" t="str">
        <f t="shared" si="3"/>
        <v/>
      </c>
      <c r="G30" s="127" t="str">
        <f t="shared" si="1"/>
        <v/>
      </c>
      <c r="H30" s="128"/>
      <c r="I30" s="129"/>
      <c r="J30" s="130"/>
      <c r="K30" s="131">
        <f t="shared" si="2"/>
        <v>0</v>
      </c>
      <c r="L30" s="132">
        <v>0</v>
      </c>
      <c r="M30" s="133">
        <f t="shared" si="5"/>
        <v>0</v>
      </c>
      <c r="N30" s="134">
        <f t="shared" si="4"/>
        <v>0</v>
      </c>
      <c r="O30" s="135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</row>
    <row r="31" spans="1:26" ht="34.5" hidden="1" customHeight="1" outlineLevel="1">
      <c r="A31" s="101">
        <v>16</v>
      </c>
      <c r="B31" s="251"/>
      <c r="C31" s="123"/>
      <c r="D31" s="124"/>
      <c r="E31" s="125" t="str">
        <f t="shared" si="0"/>
        <v/>
      </c>
      <c r="F31" s="126" t="str">
        <f t="shared" si="3"/>
        <v/>
      </c>
      <c r="G31" s="127" t="str">
        <f t="shared" si="1"/>
        <v/>
      </c>
      <c r="H31" s="128"/>
      <c r="I31" s="129"/>
      <c r="J31" s="130"/>
      <c r="K31" s="131">
        <f t="shared" si="2"/>
        <v>0</v>
      </c>
      <c r="L31" s="132">
        <v>0</v>
      </c>
      <c r="M31" s="133">
        <f t="shared" si="5"/>
        <v>0</v>
      </c>
      <c r="N31" s="134">
        <f t="shared" si="4"/>
        <v>0</v>
      </c>
      <c r="O31" s="135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</row>
    <row r="32" spans="1:26" ht="34.5" hidden="1" customHeight="1" outlineLevel="1">
      <c r="A32" s="101">
        <v>17</v>
      </c>
      <c r="B32" s="251"/>
      <c r="C32" s="123"/>
      <c r="D32" s="124"/>
      <c r="E32" s="125" t="str">
        <f t="shared" si="0"/>
        <v/>
      </c>
      <c r="F32" s="126" t="str">
        <f t="shared" si="3"/>
        <v/>
      </c>
      <c r="G32" s="127" t="str">
        <f t="shared" si="1"/>
        <v/>
      </c>
      <c r="H32" s="128"/>
      <c r="I32" s="129"/>
      <c r="J32" s="130"/>
      <c r="K32" s="131">
        <f t="shared" si="2"/>
        <v>0</v>
      </c>
      <c r="L32" s="132">
        <v>0</v>
      </c>
      <c r="M32" s="133">
        <f t="shared" si="5"/>
        <v>0</v>
      </c>
      <c r="N32" s="134">
        <f t="shared" si="4"/>
        <v>0</v>
      </c>
      <c r="O32" s="135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</row>
    <row r="33" spans="1:26" ht="34.5" hidden="1" customHeight="1" outlineLevel="1">
      <c r="A33" s="101">
        <v>18</v>
      </c>
      <c r="B33" s="251"/>
      <c r="C33" s="123"/>
      <c r="D33" s="124"/>
      <c r="E33" s="125" t="str">
        <f t="shared" si="0"/>
        <v/>
      </c>
      <c r="F33" s="126" t="str">
        <f t="shared" si="3"/>
        <v/>
      </c>
      <c r="G33" s="127" t="str">
        <f t="shared" si="1"/>
        <v/>
      </c>
      <c r="H33" s="128"/>
      <c r="I33" s="129"/>
      <c r="J33" s="130"/>
      <c r="K33" s="131">
        <f t="shared" si="2"/>
        <v>0</v>
      </c>
      <c r="L33" s="132">
        <v>0</v>
      </c>
      <c r="M33" s="133">
        <f t="shared" si="5"/>
        <v>0</v>
      </c>
      <c r="N33" s="134">
        <f t="shared" si="4"/>
        <v>0</v>
      </c>
      <c r="O33" s="135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</row>
    <row r="34" spans="1:26" ht="34.5" hidden="1" customHeight="1" outlineLevel="1">
      <c r="A34" s="101">
        <v>19</v>
      </c>
      <c r="B34" s="251"/>
      <c r="C34" s="123"/>
      <c r="D34" s="124"/>
      <c r="E34" s="125" t="str">
        <f t="shared" si="0"/>
        <v/>
      </c>
      <c r="F34" s="126" t="str">
        <f t="shared" si="3"/>
        <v/>
      </c>
      <c r="G34" s="127" t="str">
        <f t="shared" si="1"/>
        <v/>
      </c>
      <c r="H34" s="128"/>
      <c r="I34" s="129"/>
      <c r="J34" s="130"/>
      <c r="K34" s="131">
        <f t="shared" si="2"/>
        <v>0</v>
      </c>
      <c r="L34" s="132">
        <v>0</v>
      </c>
      <c r="M34" s="133">
        <f t="shared" si="5"/>
        <v>0</v>
      </c>
      <c r="N34" s="134">
        <f t="shared" si="4"/>
        <v>0</v>
      </c>
      <c r="O34" s="135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</row>
    <row r="35" spans="1:26" ht="34.5" hidden="1" customHeight="1" outlineLevel="1">
      <c r="A35" s="101">
        <v>20</v>
      </c>
      <c r="B35" s="251"/>
      <c r="C35" s="123"/>
      <c r="D35" s="124"/>
      <c r="E35" s="125" t="str">
        <f t="shared" si="0"/>
        <v/>
      </c>
      <c r="F35" s="126" t="str">
        <f t="shared" si="3"/>
        <v/>
      </c>
      <c r="G35" s="127" t="str">
        <f t="shared" si="1"/>
        <v/>
      </c>
      <c r="H35" s="128"/>
      <c r="I35" s="129"/>
      <c r="J35" s="130"/>
      <c r="K35" s="131">
        <f t="shared" si="2"/>
        <v>0</v>
      </c>
      <c r="L35" s="132">
        <v>0</v>
      </c>
      <c r="M35" s="133">
        <f t="shared" si="5"/>
        <v>0</v>
      </c>
      <c r="N35" s="134">
        <f t="shared" si="4"/>
        <v>0</v>
      </c>
      <c r="O35" s="135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</row>
    <row r="36" spans="1:26" ht="34.5" hidden="1" customHeight="1" outlineLevel="1">
      <c r="A36" s="101">
        <v>21</v>
      </c>
      <c r="B36" s="251"/>
      <c r="C36" s="123"/>
      <c r="D36" s="124"/>
      <c r="E36" s="125" t="str">
        <f t="shared" si="0"/>
        <v/>
      </c>
      <c r="F36" s="126" t="str">
        <f t="shared" si="3"/>
        <v/>
      </c>
      <c r="G36" s="127" t="str">
        <f t="shared" si="1"/>
        <v/>
      </c>
      <c r="H36" s="128"/>
      <c r="I36" s="129"/>
      <c r="J36" s="130"/>
      <c r="K36" s="131">
        <f t="shared" si="2"/>
        <v>0</v>
      </c>
      <c r="L36" s="132">
        <v>0</v>
      </c>
      <c r="M36" s="133">
        <f t="shared" si="5"/>
        <v>0</v>
      </c>
      <c r="N36" s="134">
        <f t="shared" si="4"/>
        <v>0</v>
      </c>
      <c r="O36" s="135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</row>
    <row r="37" spans="1:26" ht="34.5" hidden="1" customHeight="1" outlineLevel="1">
      <c r="A37" s="101">
        <v>22</v>
      </c>
      <c r="B37" s="251"/>
      <c r="C37" s="123"/>
      <c r="D37" s="124"/>
      <c r="E37" s="125" t="str">
        <f t="shared" si="0"/>
        <v/>
      </c>
      <c r="F37" s="126" t="str">
        <f t="shared" si="3"/>
        <v/>
      </c>
      <c r="G37" s="127" t="str">
        <f t="shared" si="1"/>
        <v/>
      </c>
      <c r="H37" s="128"/>
      <c r="I37" s="129"/>
      <c r="J37" s="130"/>
      <c r="K37" s="131">
        <f t="shared" si="2"/>
        <v>0</v>
      </c>
      <c r="L37" s="132">
        <v>0</v>
      </c>
      <c r="M37" s="133">
        <f t="shared" si="5"/>
        <v>0</v>
      </c>
      <c r="N37" s="134">
        <f t="shared" si="4"/>
        <v>0</v>
      </c>
      <c r="O37" s="135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</row>
    <row r="38" spans="1:26" ht="34.5" hidden="1" customHeight="1" outlineLevel="1">
      <c r="A38" s="101">
        <v>23</v>
      </c>
      <c r="B38" s="251"/>
      <c r="C38" s="123"/>
      <c r="D38" s="124"/>
      <c r="E38" s="125" t="str">
        <f t="shared" si="0"/>
        <v/>
      </c>
      <c r="F38" s="126" t="str">
        <f t="shared" si="3"/>
        <v/>
      </c>
      <c r="G38" s="127" t="str">
        <f t="shared" si="1"/>
        <v/>
      </c>
      <c r="H38" s="128"/>
      <c r="I38" s="129"/>
      <c r="J38" s="130"/>
      <c r="K38" s="131">
        <f t="shared" si="2"/>
        <v>0</v>
      </c>
      <c r="L38" s="132">
        <v>0</v>
      </c>
      <c r="M38" s="133">
        <f t="shared" si="5"/>
        <v>0</v>
      </c>
      <c r="N38" s="134">
        <f t="shared" si="4"/>
        <v>0</v>
      </c>
      <c r="O38" s="135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</row>
    <row r="39" spans="1:26" ht="34.5" hidden="1" customHeight="1" outlineLevel="1">
      <c r="A39" s="101">
        <v>24</v>
      </c>
      <c r="B39" s="251"/>
      <c r="C39" s="123"/>
      <c r="D39" s="124"/>
      <c r="E39" s="125" t="str">
        <f t="shared" si="0"/>
        <v/>
      </c>
      <c r="F39" s="126" t="str">
        <f t="shared" si="3"/>
        <v/>
      </c>
      <c r="G39" s="127" t="str">
        <f t="shared" si="1"/>
        <v/>
      </c>
      <c r="H39" s="128"/>
      <c r="I39" s="129"/>
      <c r="J39" s="130"/>
      <c r="K39" s="131">
        <f t="shared" si="2"/>
        <v>0</v>
      </c>
      <c r="L39" s="132">
        <v>0</v>
      </c>
      <c r="M39" s="133">
        <f t="shared" si="5"/>
        <v>0</v>
      </c>
      <c r="N39" s="134">
        <f t="shared" si="4"/>
        <v>0</v>
      </c>
      <c r="O39" s="135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</row>
    <row r="40" spans="1:26" ht="34.5" hidden="1" customHeight="1" outlineLevel="1">
      <c r="A40" s="101">
        <v>25</v>
      </c>
      <c r="B40" s="251"/>
      <c r="C40" s="123"/>
      <c r="D40" s="124"/>
      <c r="E40" s="125" t="str">
        <f t="shared" si="0"/>
        <v/>
      </c>
      <c r="F40" s="126" t="str">
        <f t="shared" si="3"/>
        <v/>
      </c>
      <c r="G40" s="127" t="str">
        <f t="shared" si="1"/>
        <v/>
      </c>
      <c r="H40" s="128"/>
      <c r="I40" s="129"/>
      <c r="J40" s="130"/>
      <c r="K40" s="131">
        <f t="shared" si="2"/>
        <v>0</v>
      </c>
      <c r="L40" s="132">
        <v>0</v>
      </c>
      <c r="M40" s="133">
        <f t="shared" si="5"/>
        <v>0</v>
      </c>
      <c r="N40" s="134">
        <f t="shared" si="4"/>
        <v>0</v>
      </c>
      <c r="O40" s="135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</row>
    <row r="41" spans="1:26" ht="34.5" hidden="1" customHeight="1" outlineLevel="1">
      <c r="A41" s="101">
        <v>26</v>
      </c>
      <c r="B41" s="251"/>
      <c r="C41" s="123"/>
      <c r="D41" s="124"/>
      <c r="E41" s="125" t="str">
        <f t="shared" si="0"/>
        <v/>
      </c>
      <c r="F41" s="126" t="str">
        <f t="shared" si="3"/>
        <v/>
      </c>
      <c r="G41" s="127" t="str">
        <f t="shared" si="1"/>
        <v/>
      </c>
      <c r="H41" s="128"/>
      <c r="I41" s="129"/>
      <c r="J41" s="130"/>
      <c r="K41" s="131">
        <f t="shared" si="2"/>
        <v>0</v>
      </c>
      <c r="L41" s="132">
        <v>0</v>
      </c>
      <c r="M41" s="133">
        <f t="shared" si="5"/>
        <v>0</v>
      </c>
      <c r="N41" s="134">
        <f t="shared" si="4"/>
        <v>0</v>
      </c>
      <c r="O41" s="135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</row>
    <row r="42" spans="1:26" ht="34.5" hidden="1" customHeight="1" outlineLevel="1">
      <c r="A42" s="101">
        <v>27</v>
      </c>
      <c r="B42" s="251"/>
      <c r="C42" s="123"/>
      <c r="D42" s="124"/>
      <c r="E42" s="125" t="str">
        <f t="shared" si="0"/>
        <v/>
      </c>
      <c r="F42" s="126" t="str">
        <f t="shared" si="3"/>
        <v/>
      </c>
      <c r="G42" s="127" t="str">
        <f t="shared" si="1"/>
        <v/>
      </c>
      <c r="H42" s="128"/>
      <c r="I42" s="129"/>
      <c r="J42" s="130"/>
      <c r="K42" s="131">
        <f t="shared" si="2"/>
        <v>0</v>
      </c>
      <c r="L42" s="132">
        <v>0</v>
      </c>
      <c r="M42" s="133">
        <f t="shared" si="5"/>
        <v>0</v>
      </c>
      <c r="N42" s="134">
        <f t="shared" si="4"/>
        <v>0</v>
      </c>
      <c r="O42" s="135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</row>
    <row r="43" spans="1:26" ht="34.5" hidden="1" customHeight="1" outlineLevel="1">
      <c r="A43" s="101">
        <v>28</v>
      </c>
      <c r="B43" s="251"/>
      <c r="C43" s="123"/>
      <c r="D43" s="124"/>
      <c r="E43" s="125" t="str">
        <f t="shared" si="0"/>
        <v/>
      </c>
      <c r="F43" s="126" t="str">
        <f t="shared" si="3"/>
        <v/>
      </c>
      <c r="G43" s="127" t="str">
        <f t="shared" si="1"/>
        <v/>
      </c>
      <c r="H43" s="128"/>
      <c r="I43" s="129"/>
      <c r="J43" s="130"/>
      <c r="K43" s="131">
        <f t="shared" si="2"/>
        <v>0</v>
      </c>
      <c r="L43" s="132">
        <v>0</v>
      </c>
      <c r="M43" s="133">
        <f t="shared" si="5"/>
        <v>0</v>
      </c>
      <c r="N43" s="134">
        <f t="shared" si="4"/>
        <v>0</v>
      </c>
      <c r="O43" s="135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</row>
    <row r="44" spans="1:26" ht="34.5" hidden="1" customHeight="1" outlineLevel="1">
      <c r="A44" s="101">
        <v>29</v>
      </c>
      <c r="B44" s="251"/>
      <c r="C44" s="123"/>
      <c r="D44" s="124"/>
      <c r="E44" s="125" t="str">
        <f t="shared" si="0"/>
        <v/>
      </c>
      <c r="F44" s="126" t="str">
        <f t="shared" si="3"/>
        <v/>
      </c>
      <c r="G44" s="127" t="str">
        <f t="shared" si="1"/>
        <v/>
      </c>
      <c r="H44" s="128"/>
      <c r="I44" s="129"/>
      <c r="J44" s="130"/>
      <c r="K44" s="131">
        <f t="shared" si="2"/>
        <v>0</v>
      </c>
      <c r="L44" s="132">
        <v>0</v>
      </c>
      <c r="M44" s="133">
        <f t="shared" si="5"/>
        <v>0</v>
      </c>
      <c r="N44" s="134">
        <f t="shared" si="4"/>
        <v>0</v>
      </c>
      <c r="O44" s="135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</row>
    <row r="45" spans="1:26" ht="34.5" hidden="1" customHeight="1" outlineLevel="1">
      <c r="A45" s="101">
        <v>30</v>
      </c>
      <c r="B45" s="251"/>
      <c r="C45" s="123"/>
      <c r="D45" s="124"/>
      <c r="E45" s="125" t="str">
        <f t="shared" si="0"/>
        <v/>
      </c>
      <c r="F45" s="126" t="str">
        <f t="shared" si="3"/>
        <v/>
      </c>
      <c r="G45" s="127" t="str">
        <f t="shared" si="1"/>
        <v/>
      </c>
      <c r="H45" s="128"/>
      <c r="I45" s="129"/>
      <c r="J45" s="130"/>
      <c r="K45" s="131">
        <f t="shared" si="2"/>
        <v>0</v>
      </c>
      <c r="L45" s="132">
        <v>0</v>
      </c>
      <c r="M45" s="133">
        <f t="shared" si="5"/>
        <v>0</v>
      </c>
      <c r="N45" s="134">
        <f t="shared" si="4"/>
        <v>0</v>
      </c>
      <c r="O45" s="135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</row>
    <row r="46" spans="1:26" ht="34.5" hidden="1" customHeight="1" outlineLevel="1">
      <c r="A46" s="101">
        <v>31</v>
      </c>
      <c r="B46" s="251"/>
      <c r="C46" s="123"/>
      <c r="D46" s="124"/>
      <c r="E46" s="125" t="str">
        <f t="shared" si="0"/>
        <v/>
      </c>
      <c r="F46" s="126" t="str">
        <f t="shared" si="3"/>
        <v/>
      </c>
      <c r="G46" s="127" t="str">
        <f t="shared" si="1"/>
        <v/>
      </c>
      <c r="H46" s="128"/>
      <c r="I46" s="129"/>
      <c r="J46" s="130"/>
      <c r="K46" s="131">
        <f t="shared" si="2"/>
        <v>0</v>
      </c>
      <c r="L46" s="132">
        <v>0</v>
      </c>
      <c r="M46" s="133">
        <f t="shared" si="5"/>
        <v>0</v>
      </c>
      <c r="N46" s="134">
        <f t="shared" si="4"/>
        <v>0</v>
      </c>
      <c r="O46" s="135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</row>
    <row r="47" spans="1:26" ht="34.5" hidden="1" customHeight="1" outlineLevel="1">
      <c r="A47" s="101">
        <v>32</v>
      </c>
      <c r="B47" s="251"/>
      <c r="C47" s="123"/>
      <c r="D47" s="124"/>
      <c r="E47" s="125" t="str">
        <f t="shared" si="0"/>
        <v/>
      </c>
      <c r="F47" s="126" t="str">
        <f t="shared" si="3"/>
        <v/>
      </c>
      <c r="G47" s="127" t="str">
        <f t="shared" si="1"/>
        <v/>
      </c>
      <c r="H47" s="128"/>
      <c r="I47" s="129"/>
      <c r="J47" s="130"/>
      <c r="K47" s="131">
        <f t="shared" si="2"/>
        <v>0</v>
      </c>
      <c r="L47" s="132">
        <v>0</v>
      </c>
      <c r="M47" s="133">
        <f t="shared" si="5"/>
        <v>0</v>
      </c>
      <c r="N47" s="134">
        <f t="shared" si="4"/>
        <v>0</v>
      </c>
      <c r="O47" s="135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</row>
    <row r="48" spans="1:26" ht="34.5" hidden="1" customHeight="1" outlineLevel="1">
      <c r="A48" s="101">
        <v>33</v>
      </c>
      <c r="B48" s="251"/>
      <c r="C48" s="123"/>
      <c r="D48" s="124"/>
      <c r="E48" s="125" t="str">
        <f t="shared" si="0"/>
        <v/>
      </c>
      <c r="F48" s="126" t="str">
        <f t="shared" si="3"/>
        <v/>
      </c>
      <c r="G48" s="127" t="str">
        <f t="shared" si="1"/>
        <v/>
      </c>
      <c r="H48" s="128"/>
      <c r="I48" s="129"/>
      <c r="J48" s="130"/>
      <c r="K48" s="131">
        <f t="shared" si="2"/>
        <v>0</v>
      </c>
      <c r="L48" s="132">
        <v>0</v>
      </c>
      <c r="M48" s="133">
        <f t="shared" si="5"/>
        <v>0</v>
      </c>
      <c r="N48" s="134">
        <f t="shared" si="4"/>
        <v>0</v>
      </c>
      <c r="O48" s="135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</row>
    <row r="49" spans="1:27" ht="34.5" hidden="1" customHeight="1" outlineLevel="1">
      <c r="A49" s="101">
        <v>34</v>
      </c>
      <c r="B49" s="251"/>
      <c r="C49" s="123"/>
      <c r="D49" s="124"/>
      <c r="E49" s="125" t="str">
        <f t="shared" si="0"/>
        <v/>
      </c>
      <c r="F49" s="126" t="str">
        <f t="shared" si="3"/>
        <v/>
      </c>
      <c r="G49" s="127" t="str">
        <f t="shared" si="1"/>
        <v/>
      </c>
      <c r="H49" s="128"/>
      <c r="I49" s="129"/>
      <c r="J49" s="130"/>
      <c r="K49" s="131">
        <f t="shared" si="2"/>
        <v>0</v>
      </c>
      <c r="L49" s="132">
        <v>0</v>
      </c>
      <c r="M49" s="133">
        <f t="shared" si="5"/>
        <v>0</v>
      </c>
      <c r="N49" s="134">
        <f t="shared" si="4"/>
        <v>0</v>
      </c>
      <c r="O49" s="135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</row>
    <row r="50" spans="1:27" ht="34.5" hidden="1" customHeight="1" outlineLevel="1">
      <c r="A50" s="101">
        <v>35</v>
      </c>
      <c r="B50" s="251"/>
      <c r="C50" s="123"/>
      <c r="D50" s="124"/>
      <c r="E50" s="125" t="str">
        <f t="shared" si="0"/>
        <v/>
      </c>
      <c r="F50" s="126" t="str">
        <f t="shared" si="3"/>
        <v/>
      </c>
      <c r="G50" s="127" t="str">
        <f t="shared" si="1"/>
        <v/>
      </c>
      <c r="H50" s="128"/>
      <c r="I50" s="129"/>
      <c r="J50" s="130"/>
      <c r="K50" s="131">
        <f t="shared" si="2"/>
        <v>0</v>
      </c>
      <c r="L50" s="132">
        <v>0</v>
      </c>
      <c r="M50" s="133">
        <f t="shared" si="5"/>
        <v>0</v>
      </c>
      <c r="N50" s="134">
        <f t="shared" si="4"/>
        <v>0</v>
      </c>
      <c r="O50" s="135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</row>
    <row r="51" spans="1:27" ht="34.5" hidden="1" customHeight="1" outlineLevel="1">
      <c r="A51" s="101">
        <v>36</v>
      </c>
      <c r="B51" s="251"/>
      <c r="C51" s="123"/>
      <c r="D51" s="124"/>
      <c r="E51" s="125" t="str">
        <f t="shared" si="0"/>
        <v/>
      </c>
      <c r="F51" s="126" t="str">
        <f t="shared" si="3"/>
        <v/>
      </c>
      <c r="G51" s="127" t="str">
        <f t="shared" si="1"/>
        <v/>
      </c>
      <c r="H51" s="128"/>
      <c r="I51" s="129"/>
      <c r="J51" s="130"/>
      <c r="K51" s="131">
        <f t="shared" si="2"/>
        <v>0</v>
      </c>
      <c r="L51" s="132">
        <v>0</v>
      </c>
      <c r="M51" s="133">
        <f t="shared" si="5"/>
        <v>0</v>
      </c>
      <c r="N51" s="134">
        <f t="shared" si="4"/>
        <v>0</v>
      </c>
      <c r="O51" s="135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</row>
    <row r="52" spans="1:27" ht="34.5" hidden="1" customHeight="1" outlineLevel="1">
      <c r="A52" s="101">
        <v>37</v>
      </c>
      <c r="B52" s="251"/>
      <c r="C52" s="123"/>
      <c r="D52" s="124"/>
      <c r="E52" s="125" t="str">
        <f t="shared" si="0"/>
        <v/>
      </c>
      <c r="F52" s="126" t="str">
        <f t="shared" si="3"/>
        <v/>
      </c>
      <c r="G52" s="127" t="str">
        <f t="shared" si="1"/>
        <v/>
      </c>
      <c r="H52" s="128"/>
      <c r="I52" s="129"/>
      <c r="J52" s="130"/>
      <c r="K52" s="131">
        <f t="shared" si="2"/>
        <v>0</v>
      </c>
      <c r="L52" s="132">
        <v>0</v>
      </c>
      <c r="M52" s="133">
        <f t="shared" si="5"/>
        <v>0</v>
      </c>
      <c r="N52" s="134">
        <f t="shared" si="4"/>
        <v>0</v>
      </c>
      <c r="O52" s="135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</row>
    <row r="53" spans="1:27" ht="34.5" hidden="1" customHeight="1" collapsed="1">
      <c r="A53" s="101">
        <v>2</v>
      </c>
      <c r="B53" s="251"/>
      <c r="C53" s="123"/>
      <c r="D53" s="124"/>
      <c r="E53" s="125" t="str">
        <f t="shared" si="0"/>
        <v/>
      </c>
      <c r="F53" s="126" t="str">
        <f t="shared" si="3"/>
        <v/>
      </c>
      <c r="G53" s="127" t="str">
        <f t="shared" si="1"/>
        <v/>
      </c>
      <c r="H53" s="128"/>
      <c r="I53" s="129"/>
      <c r="J53" s="130"/>
      <c r="K53" s="131">
        <f t="shared" si="2"/>
        <v>0</v>
      </c>
      <c r="L53" s="132">
        <v>0</v>
      </c>
      <c r="M53" s="133">
        <f t="shared" si="5"/>
        <v>0</v>
      </c>
      <c r="N53" s="134">
        <f t="shared" si="4"/>
        <v>0</v>
      </c>
      <c r="O53" s="135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</row>
    <row r="54" spans="1:27" ht="24" customHeight="1">
      <c r="A54" s="101"/>
      <c r="B54" s="101"/>
      <c r="C54" s="137"/>
      <c r="D54" s="138"/>
      <c r="E54" s="139"/>
      <c r="F54" s="139"/>
      <c r="G54" s="140"/>
      <c r="H54" s="141" t="s">
        <v>14</v>
      </c>
      <c r="I54" s="141"/>
      <c r="J54" s="141"/>
      <c r="K54" s="142">
        <f>SUM(K16:K53)</f>
        <v>7906</v>
      </c>
      <c r="L54" s="143"/>
      <c r="M54" s="142">
        <f>SUM(M16:M53)</f>
        <v>7590</v>
      </c>
      <c r="N54" s="144">
        <f>SUM(N16:N53)</f>
        <v>0</v>
      </c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</row>
    <row r="55" spans="1:27" ht="15" customHeight="1">
      <c r="A55" s="101"/>
      <c r="B55" s="101"/>
      <c r="C55" s="145"/>
      <c r="D55" s="145"/>
      <c r="E55" s="146"/>
      <c r="F55" s="146"/>
      <c r="G55" s="146"/>
      <c r="H55" s="145"/>
      <c r="I55" s="145"/>
      <c r="J55" s="147"/>
      <c r="K55" s="74"/>
      <c r="L55" s="73"/>
      <c r="M55" s="73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</row>
    <row r="56" spans="1:27" ht="49.5" customHeight="1">
      <c r="A56" s="101"/>
      <c r="B56" s="115" t="s">
        <v>7</v>
      </c>
      <c r="C56" s="148" t="s">
        <v>50</v>
      </c>
      <c r="D56" s="148" t="s">
        <v>51</v>
      </c>
      <c r="E56" s="115" t="s">
        <v>19</v>
      </c>
      <c r="F56" s="115" t="s">
        <v>52</v>
      </c>
      <c r="G56" s="115" t="s">
        <v>20</v>
      </c>
      <c r="H56" s="149" t="s">
        <v>53</v>
      </c>
      <c r="I56" s="149" t="s">
        <v>54</v>
      </c>
      <c r="J56" s="149" t="s">
        <v>55</v>
      </c>
      <c r="K56" s="149" t="s">
        <v>56</v>
      </c>
      <c r="L56" s="149" t="s">
        <v>57</v>
      </c>
      <c r="M56" s="150" t="s">
        <v>19</v>
      </c>
      <c r="N56" s="151" t="s">
        <v>28</v>
      </c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</row>
    <row r="57" spans="1:27" ht="12.75" customHeight="1">
      <c r="A57" s="101"/>
      <c r="B57" s="152"/>
      <c r="C57" s="264">
        <v>0.97964933908732565</v>
      </c>
      <c r="D57" s="153">
        <v>1.2500000000000001E-2</v>
      </c>
      <c r="E57" s="154">
        <v>0.18</v>
      </c>
      <c r="F57" s="154"/>
      <c r="G57" s="155" t="s">
        <v>58</v>
      </c>
      <c r="H57" s="155"/>
      <c r="I57" s="155"/>
      <c r="J57" s="155"/>
      <c r="K57" s="155"/>
      <c r="L57" s="155"/>
      <c r="M57" s="155"/>
      <c r="N57" s="155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</row>
    <row r="58" spans="1:27" ht="33" customHeight="1">
      <c r="A58" s="101">
        <v>1</v>
      </c>
      <c r="B58" s="262">
        <f t="shared" ref="B58:B93" si="6">IF(+B16="","",+B16)</f>
        <v>667</v>
      </c>
      <c r="C58" s="156">
        <f t="shared" ref="C58:C93" si="7">IF($B58="","",+(1-$L16)*$K16*$C$57)</f>
        <v>7435.5384836728017</v>
      </c>
      <c r="D58" s="156">
        <f t="shared" ref="D58:D93" si="8">IF($B58="","",+$C58*((1+$D$57/30)^$F16-1))</f>
        <v>156.49898866028138</v>
      </c>
      <c r="E58" s="157">
        <f t="shared" ref="E58:E94" si="9">IF($B58="","",+D58*$E$57)</f>
        <v>28.169817958850647</v>
      </c>
      <c r="F58" s="157">
        <f t="shared" ref="F58:F94" si="10">IF($B58="","",+$C58/$C$95*$F$95)</f>
        <v>37.177692418364011</v>
      </c>
      <c r="G58" s="157">
        <f t="shared" ref="G58:G94" si="11">IF($B58="","",+$C58-$D58-$E58-$F58)</f>
        <v>7213.6919846353057</v>
      </c>
      <c r="H58" s="158">
        <f t="shared" ref="H58:H93" si="12">IF(B58="","",E16)</f>
        <v>45863</v>
      </c>
      <c r="I58" s="126">
        <f t="shared" ref="I58:I93" si="13">IFERROR(+H58-E16,"")</f>
        <v>0</v>
      </c>
      <c r="J58" s="159">
        <f>+C58</f>
        <v>7435.5384836728017</v>
      </c>
      <c r="K58" s="159">
        <f t="shared" ref="K58:K93" si="14">IF(I58&lt;0,IFERROR(+((1+$D$57/30)^(F16+I58)-1)*(C58),0)-D58,IFERROR(+((1+$D$57/30)^(I58)-1)*(C58),0))</f>
        <v>0</v>
      </c>
      <c r="L58" s="159">
        <f>IF(I58&gt;0,IFERROR(+((1+3%/30)^I58-1)*(C58),0),0)</f>
        <v>0</v>
      </c>
      <c r="M58" s="159">
        <f t="shared" ref="M58:M94" si="15">SUM(K58:L58)*18%</f>
        <v>0</v>
      </c>
      <c r="N58" s="160">
        <f>+SUM(J58:M58)</f>
        <v>7435.5384836728017</v>
      </c>
      <c r="O58" s="70"/>
      <c r="P58" s="233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</row>
    <row r="59" spans="1:27" ht="33" hidden="1" customHeight="1" outlineLevel="1">
      <c r="A59" s="101">
        <v>2</v>
      </c>
      <c r="B59" s="252" t="str">
        <f t="shared" si="6"/>
        <v/>
      </c>
      <c r="C59" s="156" t="str">
        <f t="shared" si="7"/>
        <v/>
      </c>
      <c r="D59" s="156" t="str">
        <f t="shared" si="8"/>
        <v/>
      </c>
      <c r="E59" s="157" t="str">
        <f t="shared" si="9"/>
        <v/>
      </c>
      <c r="F59" s="157" t="str">
        <f t="shared" si="10"/>
        <v/>
      </c>
      <c r="G59" s="157" t="str">
        <f t="shared" si="11"/>
        <v/>
      </c>
      <c r="H59" s="158" t="str">
        <f t="shared" si="12"/>
        <v/>
      </c>
      <c r="I59" s="126" t="str">
        <f t="shared" si="13"/>
        <v/>
      </c>
      <c r="J59" s="159" t="str">
        <f t="shared" ref="J59:J94" si="16">+C59</f>
        <v/>
      </c>
      <c r="K59" s="159">
        <f t="shared" si="14"/>
        <v>0</v>
      </c>
      <c r="L59" s="159">
        <f>IF(I59&gt;0,IFERROR(+((1+3%/30)^I59-1)*(C59),0),0)</f>
        <v>0</v>
      </c>
      <c r="M59" s="159">
        <f t="shared" si="15"/>
        <v>0</v>
      </c>
      <c r="N59" s="160">
        <f t="shared" ref="N59:N94" si="17">+SUM(J59:M59)</f>
        <v>0</v>
      </c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</row>
    <row r="60" spans="1:27" ht="33" hidden="1" customHeight="1" outlineLevel="1">
      <c r="A60" s="101">
        <v>3</v>
      </c>
      <c r="B60" s="252" t="str">
        <f t="shared" si="6"/>
        <v/>
      </c>
      <c r="C60" s="156" t="str">
        <f t="shared" si="7"/>
        <v/>
      </c>
      <c r="D60" s="156" t="str">
        <f t="shared" si="8"/>
        <v/>
      </c>
      <c r="E60" s="157" t="str">
        <f t="shared" si="9"/>
        <v/>
      </c>
      <c r="F60" s="157" t="str">
        <f t="shared" si="10"/>
        <v/>
      </c>
      <c r="G60" s="157" t="str">
        <f t="shared" si="11"/>
        <v/>
      </c>
      <c r="H60" s="158" t="str">
        <f t="shared" si="12"/>
        <v/>
      </c>
      <c r="I60" s="126" t="str">
        <f t="shared" si="13"/>
        <v/>
      </c>
      <c r="J60" s="159" t="str">
        <f t="shared" si="16"/>
        <v/>
      </c>
      <c r="K60" s="159">
        <f t="shared" si="14"/>
        <v>0</v>
      </c>
      <c r="L60" s="159">
        <f t="shared" ref="L60:L94" si="18">IF(I60&gt;0,IFERROR(+((1+3%/30)^I60-1)*(C60),0),0)</f>
        <v>0</v>
      </c>
      <c r="M60" s="159">
        <f t="shared" si="15"/>
        <v>0</v>
      </c>
      <c r="N60" s="160">
        <f t="shared" si="17"/>
        <v>0</v>
      </c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</row>
    <row r="61" spans="1:27" ht="33" hidden="1" customHeight="1" outlineLevel="1">
      <c r="A61" s="101">
        <v>4</v>
      </c>
      <c r="B61" s="252" t="str">
        <f t="shared" si="6"/>
        <v/>
      </c>
      <c r="C61" s="156" t="str">
        <f t="shared" si="7"/>
        <v/>
      </c>
      <c r="D61" s="156" t="str">
        <f t="shared" si="8"/>
        <v/>
      </c>
      <c r="E61" s="157" t="str">
        <f t="shared" si="9"/>
        <v/>
      </c>
      <c r="F61" s="157" t="str">
        <f t="shared" si="10"/>
        <v/>
      </c>
      <c r="G61" s="157" t="str">
        <f t="shared" si="11"/>
        <v/>
      </c>
      <c r="H61" s="158" t="str">
        <f t="shared" si="12"/>
        <v/>
      </c>
      <c r="I61" s="126" t="str">
        <f t="shared" si="13"/>
        <v/>
      </c>
      <c r="J61" s="159" t="str">
        <f t="shared" si="16"/>
        <v/>
      </c>
      <c r="K61" s="159">
        <f t="shared" si="14"/>
        <v>0</v>
      </c>
      <c r="L61" s="159">
        <f t="shared" si="18"/>
        <v>0</v>
      </c>
      <c r="M61" s="159">
        <f t="shared" si="15"/>
        <v>0</v>
      </c>
      <c r="N61" s="160">
        <f t="shared" si="17"/>
        <v>0</v>
      </c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</row>
    <row r="62" spans="1:27" ht="33" hidden="1" customHeight="1" outlineLevel="1">
      <c r="A62" s="101">
        <v>5</v>
      </c>
      <c r="B62" s="252" t="str">
        <f t="shared" si="6"/>
        <v/>
      </c>
      <c r="C62" s="156" t="str">
        <f t="shared" si="7"/>
        <v/>
      </c>
      <c r="D62" s="156" t="str">
        <f t="shared" si="8"/>
        <v/>
      </c>
      <c r="E62" s="157" t="str">
        <f t="shared" si="9"/>
        <v/>
      </c>
      <c r="F62" s="157" t="str">
        <f t="shared" si="10"/>
        <v/>
      </c>
      <c r="G62" s="157" t="str">
        <f t="shared" si="11"/>
        <v/>
      </c>
      <c r="H62" s="158" t="str">
        <f t="shared" si="12"/>
        <v/>
      </c>
      <c r="I62" s="126" t="str">
        <f t="shared" si="13"/>
        <v/>
      </c>
      <c r="J62" s="159" t="str">
        <f t="shared" si="16"/>
        <v/>
      </c>
      <c r="K62" s="159">
        <f t="shared" si="14"/>
        <v>0</v>
      </c>
      <c r="L62" s="159">
        <f t="shared" si="18"/>
        <v>0</v>
      </c>
      <c r="M62" s="159">
        <f t="shared" si="15"/>
        <v>0</v>
      </c>
      <c r="N62" s="160">
        <f t="shared" si="17"/>
        <v>0</v>
      </c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</row>
    <row r="63" spans="1:27" ht="33" hidden="1" customHeight="1" outlineLevel="1">
      <c r="A63" s="101">
        <v>6</v>
      </c>
      <c r="B63" s="252" t="str">
        <f t="shared" si="6"/>
        <v/>
      </c>
      <c r="C63" s="156" t="str">
        <f t="shared" si="7"/>
        <v/>
      </c>
      <c r="D63" s="156" t="str">
        <f t="shared" si="8"/>
        <v/>
      </c>
      <c r="E63" s="157" t="str">
        <f t="shared" si="9"/>
        <v/>
      </c>
      <c r="F63" s="157" t="str">
        <f t="shared" si="10"/>
        <v/>
      </c>
      <c r="G63" s="157" t="str">
        <f t="shared" si="11"/>
        <v/>
      </c>
      <c r="H63" s="158" t="str">
        <f t="shared" si="12"/>
        <v/>
      </c>
      <c r="I63" s="126" t="str">
        <f t="shared" si="13"/>
        <v/>
      </c>
      <c r="J63" s="159" t="str">
        <f t="shared" si="16"/>
        <v/>
      </c>
      <c r="K63" s="159">
        <f t="shared" si="14"/>
        <v>0</v>
      </c>
      <c r="L63" s="159">
        <f t="shared" si="18"/>
        <v>0</v>
      </c>
      <c r="M63" s="159">
        <f t="shared" si="15"/>
        <v>0</v>
      </c>
      <c r="N63" s="160">
        <f t="shared" si="17"/>
        <v>0</v>
      </c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</row>
    <row r="64" spans="1:27" ht="33" hidden="1" customHeight="1" outlineLevel="1">
      <c r="A64" s="101">
        <v>7</v>
      </c>
      <c r="B64" s="252" t="str">
        <f t="shared" si="6"/>
        <v/>
      </c>
      <c r="C64" s="156" t="str">
        <f t="shared" si="7"/>
        <v/>
      </c>
      <c r="D64" s="156" t="str">
        <f t="shared" si="8"/>
        <v/>
      </c>
      <c r="E64" s="157" t="str">
        <f t="shared" si="9"/>
        <v/>
      </c>
      <c r="F64" s="157" t="str">
        <f t="shared" si="10"/>
        <v/>
      </c>
      <c r="G64" s="157" t="str">
        <f t="shared" si="11"/>
        <v/>
      </c>
      <c r="H64" s="158" t="str">
        <f t="shared" si="12"/>
        <v/>
      </c>
      <c r="I64" s="126" t="str">
        <f t="shared" si="13"/>
        <v/>
      </c>
      <c r="J64" s="159" t="str">
        <f t="shared" si="16"/>
        <v/>
      </c>
      <c r="K64" s="159">
        <f t="shared" si="14"/>
        <v>0</v>
      </c>
      <c r="L64" s="159">
        <f t="shared" si="18"/>
        <v>0</v>
      </c>
      <c r="M64" s="159">
        <f t="shared" si="15"/>
        <v>0</v>
      </c>
      <c r="N64" s="160">
        <f t="shared" si="17"/>
        <v>0</v>
      </c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</row>
    <row r="65" spans="1:27" ht="33" hidden="1" customHeight="1" outlineLevel="1">
      <c r="A65" s="101">
        <v>8</v>
      </c>
      <c r="B65" s="252" t="str">
        <f t="shared" si="6"/>
        <v/>
      </c>
      <c r="C65" s="156" t="str">
        <f t="shared" si="7"/>
        <v/>
      </c>
      <c r="D65" s="156" t="str">
        <f t="shared" si="8"/>
        <v/>
      </c>
      <c r="E65" s="157" t="str">
        <f t="shared" si="9"/>
        <v/>
      </c>
      <c r="F65" s="157" t="str">
        <f t="shared" si="10"/>
        <v/>
      </c>
      <c r="G65" s="157" t="str">
        <f t="shared" si="11"/>
        <v/>
      </c>
      <c r="H65" s="158" t="str">
        <f t="shared" si="12"/>
        <v/>
      </c>
      <c r="I65" s="126" t="str">
        <f t="shared" si="13"/>
        <v/>
      </c>
      <c r="J65" s="159" t="str">
        <f t="shared" si="16"/>
        <v/>
      </c>
      <c r="K65" s="159">
        <f t="shared" si="14"/>
        <v>0</v>
      </c>
      <c r="L65" s="159">
        <f t="shared" si="18"/>
        <v>0</v>
      </c>
      <c r="M65" s="159">
        <f t="shared" si="15"/>
        <v>0</v>
      </c>
      <c r="N65" s="160">
        <f t="shared" si="17"/>
        <v>0</v>
      </c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</row>
    <row r="66" spans="1:27" ht="33" hidden="1" customHeight="1" outlineLevel="1">
      <c r="A66" s="101">
        <v>9</v>
      </c>
      <c r="B66" s="252" t="str">
        <f t="shared" si="6"/>
        <v/>
      </c>
      <c r="C66" s="156" t="str">
        <f t="shared" si="7"/>
        <v/>
      </c>
      <c r="D66" s="156" t="str">
        <f t="shared" si="8"/>
        <v/>
      </c>
      <c r="E66" s="157" t="str">
        <f t="shared" si="9"/>
        <v/>
      </c>
      <c r="F66" s="157" t="str">
        <f t="shared" si="10"/>
        <v/>
      </c>
      <c r="G66" s="157" t="str">
        <f t="shared" si="11"/>
        <v/>
      </c>
      <c r="H66" s="158" t="str">
        <f t="shared" si="12"/>
        <v/>
      </c>
      <c r="I66" s="126" t="str">
        <f t="shared" si="13"/>
        <v/>
      </c>
      <c r="J66" s="159" t="str">
        <f t="shared" si="16"/>
        <v/>
      </c>
      <c r="K66" s="159">
        <f t="shared" si="14"/>
        <v>0</v>
      </c>
      <c r="L66" s="159">
        <f t="shared" si="18"/>
        <v>0</v>
      </c>
      <c r="M66" s="159">
        <f t="shared" si="15"/>
        <v>0</v>
      </c>
      <c r="N66" s="160">
        <f t="shared" si="17"/>
        <v>0</v>
      </c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</row>
    <row r="67" spans="1:27" ht="33" hidden="1" customHeight="1" outlineLevel="1">
      <c r="A67" s="101">
        <v>10</v>
      </c>
      <c r="B67" s="252" t="str">
        <f t="shared" si="6"/>
        <v/>
      </c>
      <c r="C67" s="156" t="str">
        <f t="shared" si="7"/>
        <v/>
      </c>
      <c r="D67" s="156" t="str">
        <f t="shared" si="8"/>
        <v/>
      </c>
      <c r="E67" s="157" t="str">
        <f t="shared" si="9"/>
        <v/>
      </c>
      <c r="F67" s="157" t="str">
        <f t="shared" si="10"/>
        <v/>
      </c>
      <c r="G67" s="157" t="str">
        <f t="shared" si="11"/>
        <v/>
      </c>
      <c r="H67" s="158" t="str">
        <f t="shared" si="12"/>
        <v/>
      </c>
      <c r="I67" s="126" t="str">
        <f t="shared" si="13"/>
        <v/>
      </c>
      <c r="J67" s="159" t="str">
        <f t="shared" si="16"/>
        <v/>
      </c>
      <c r="K67" s="159">
        <f t="shared" si="14"/>
        <v>0</v>
      </c>
      <c r="L67" s="159">
        <f t="shared" si="18"/>
        <v>0</v>
      </c>
      <c r="M67" s="159">
        <f t="shared" si="15"/>
        <v>0</v>
      </c>
      <c r="N67" s="160">
        <f t="shared" si="17"/>
        <v>0</v>
      </c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</row>
    <row r="68" spans="1:27" ht="33" hidden="1" customHeight="1" outlineLevel="1">
      <c r="A68" s="101">
        <v>11</v>
      </c>
      <c r="B68" s="252" t="str">
        <f t="shared" si="6"/>
        <v/>
      </c>
      <c r="C68" s="156" t="str">
        <f t="shared" si="7"/>
        <v/>
      </c>
      <c r="D68" s="156" t="str">
        <f t="shared" si="8"/>
        <v/>
      </c>
      <c r="E68" s="157" t="str">
        <f t="shared" si="9"/>
        <v/>
      </c>
      <c r="F68" s="157" t="str">
        <f t="shared" si="10"/>
        <v/>
      </c>
      <c r="G68" s="157" t="str">
        <f t="shared" si="11"/>
        <v/>
      </c>
      <c r="H68" s="158" t="str">
        <f t="shared" si="12"/>
        <v/>
      </c>
      <c r="I68" s="126" t="str">
        <f t="shared" si="13"/>
        <v/>
      </c>
      <c r="J68" s="159" t="str">
        <f t="shared" si="16"/>
        <v/>
      </c>
      <c r="K68" s="159">
        <f t="shared" si="14"/>
        <v>0</v>
      </c>
      <c r="L68" s="159">
        <f t="shared" si="18"/>
        <v>0</v>
      </c>
      <c r="M68" s="159">
        <f t="shared" si="15"/>
        <v>0</v>
      </c>
      <c r="N68" s="160">
        <f t="shared" si="17"/>
        <v>0</v>
      </c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</row>
    <row r="69" spans="1:27" ht="33" hidden="1" customHeight="1" outlineLevel="1">
      <c r="A69" s="101">
        <v>12</v>
      </c>
      <c r="B69" s="252" t="str">
        <f t="shared" si="6"/>
        <v/>
      </c>
      <c r="C69" s="156" t="str">
        <f t="shared" si="7"/>
        <v/>
      </c>
      <c r="D69" s="156" t="str">
        <f t="shared" si="8"/>
        <v/>
      </c>
      <c r="E69" s="157" t="str">
        <f t="shared" si="9"/>
        <v/>
      </c>
      <c r="F69" s="157" t="str">
        <f t="shared" si="10"/>
        <v/>
      </c>
      <c r="G69" s="157" t="str">
        <f t="shared" si="11"/>
        <v/>
      </c>
      <c r="H69" s="158" t="str">
        <f t="shared" si="12"/>
        <v/>
      </c>
      <c r="I69" s="126" t="str">
        <f t="shared" si="13"/>
        <v/>
      </c>
      <c r="J69" s="159" t="str">
        <f t="shared" si="16"/>
        <v/>
      </c>
      <c r="K69" s="159">
        <f t="shared" si="14"/>
        <v>0</v>
      </c>
      <c r="L69" s="159">
        <f t="shared" si="18"/>
        <v>0</v>
      </c>
      <c r="M69" s="159">
        <f t="shared" si="15"/>
        <v>0</v>
      </c>
      <c r="N69" s="160">
        <f t="shared" si="17"/>
        <v>0</v>
      </c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</row>
    <row r="70" spans="1:27" ht="33" hidden="1" customHeight="1" outlineLevel="1">
      <c r="A70" s="101">
        <v>13</v>
      </c>
      <c r="B70" s="252" t="str">
        <f t="shared" si="6"/>
        <v/>
      </c>
      <c r="C70" s="156" t="str">
        <f t="shared" si="7"/>
        <v/>
      </c>
      <c r="D70" s="156" t="str">
        <f t="shared" si="8"/>
        <v/>
      </c>
      <c r="E70" s="157" t="str">
        <f t="shared" si="9"/>
        <v/>
      </c>
      <c r="F70" s="157" t="str">
        <f t="shared" si="10"/>
        <v/>
      </c>
      <c r="G70" s="157" t="str">
        <f t="shared" si="11"/>
        <v/>
      </c>
      <c r="H70" s="158" t="str">
        <f t="shared" si="12"/>
        <v/>
      </c>
      <c r="I70" s="126" t="str">
        <f t="shared" si="13"/>
        <v/>
      </c>
      <c r="J70" s="159" t="str">
        <f t="shared" si="16"/>
        <v/>
      </c>
      <c r="K70" s="159">
        <f t="shared" si="14"/>
        <v>0</v>
      </c>
      <c r="L70" s="159">
        <f t="shared" si="18"/>
        <v>0</v>
      </c>
      <c r="M70" s="159">
        <f t="shared" si="15"/>
        <v>0</v>
      </c>
      <c r="N70" s="160">
        <f t="shared" si="17"/>
        <v>0</v>
      </c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</row>
    <row r="71" spans="1:27" ht="33" hidden="1" customHeight="1" outlineLevel="1">
      <c r="A71" s="101">
        <v>14</v>
      </c>
      <c r="B71" s="252" t="str">
        <f t="shared" si="6"/>
        <v/>
      </c>
      <c r="C71" s="156" t="str">
        <f t="shared" si="7"/>
        <v/>
      </c>
      <c r="D71" s="156" t="str">
        <f t="shared" si="8"/>
        <v/>
      </c>
      <c r="E71" s="157" t="str">
        <f t="shared" si="9"/>
        <v/>
      </c>
      <c r="F71" s="157" t="str">
        <f t="shared" si="10"/>
        <v/>
      </c>
      <c r="G71" s="157" t="str">
        <f t="shared" si="11"/>
        <v/>
      </c>
      <c r="H71" s="158" t="str">
        <f t="shared" si="12"/>
        <v/>
      </c>
      <c r="I71" s="126" t="str">
        <f t="shared" si="13"/>
        <v/>
      </c>
      <c r="J71" s="159" t="str">
        <f t="shared" si="16"/>
        <v/>
      </c>
      <c r="K71" s="159">
        <f t="shared" si="14"/>
        <v>0</v>
      </c>
      <c r="L71" s="159">
        <f t="shared" si="18"/>
        <v>0</v>
      </c>
      <c r="M71" s="159">
        <f t="shared" si="15"/>
        <v>0</v>
      </c>
      <c r="N71" s="160">
        <f t="shared" si="17"/>
        <v>0</v>
      </c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</row>
    <row r="72" spans="1:27" ht="33" hidden="1" customHeight="1" outlineLevel="1">
      <c r="A72" s="101">
        <v>15</v>
      </c>
      <c r="B72" s="252" t="str">
        <f t="shared" si="6"/>
        <v/>
      </c>
      <c r="C72" s="156" t="str">
        <f t="shared" si="7"/>
        <v/>
      </c>
      <c r="D72" s="156" t="str">
        <f t="shared" si="8"/>
        <v/>
      </c>
      <c r="E72" s="157" t="str">
        <f t="shared" si="9"/>
        <v/>
      </c>
      <c r="F72" s="157" t="str">
        <f t="shared" si="10"/>
        <v/>
      </c>
      <c r="G72" s="157" t="str">
        <f t="shared" si="11"/>
        <v/>
      </c>
      <c r="H72" s="158" t="str">
        <f t="shared" si="12"/>
        <v/>
      </c>
      <c r="I72" s="126" t="str">
        <f t="shared" si="13"/>
        <v/>
      </c>
      <c r="J72" s="159" t="str">
        <f t="shared" si="16"/>
        <v/>
      </c>
      <c r="K72" s="159">
        <f t="shared" si="14"/>
        <v>0</v>
      </c>
      <c r="L72" s="159">
        <f t="shared" si="18"/>
        <v>0</v>
      </c>
      <c r="M72" s="159">
        <f t="shared" si="15"/>
        <v>0</v>
      </c>
      <c r="N72" s="160">
        <f t="shared" si="17"/>
        <v>0</v>
      </c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</row>
    <row r="73" spans="1:27" ht="33" hidden="1" customHeight="1" outlineLevel="1">
      <c r="A73" s="101">
        <v>16</v>
      </c>
      <c r="B73" s="252" t="str">
        <f t="shared" si="6"/>
        <v/>
      </c>
      <c r="C73" s="156" t="str">
        <f t="shared" si="7"/>
        <v/>
      </c>
      <c r="D73" s="156" t="str">
        <f t="shared" si="8"/>
        <v/>
      </c>
      <c r="E73" s="157" t="str">
        <f t="shared" si="9"/>
        <v/>
      </c>
      <c r="F73" s="157" t="str">
        <f t="shared" si="10"/>
        <v/>
      </c>
      <c r="G73" s="157" t="str">
        <f t="shared" si="11"/>
        <v/>
      </c>
      <c r="H73" s="158" t="str">
        <f t="shared" si="12"/>
        <v/>
      </c>
      <c r="I73" s="126" t="str">
        <f t="shared" si="13"/>
        <v/>
      </c>
      <c r="J73" s="159" t="str">
        <f t="shared" si="16"/>
        <v/>
      </c>
      <c r="K73" s="159">
        <f t="shared" si="14"/>
        <v>0</v>
      </c>
      <c r="L73" s="159">
        <f t="shared" si="18"/>
        <v>0</v>
      </c>
      <c r="M73" s="159">
        <f t="shared" si="15"/>
        <v>0</v>
      </c>
      <c r="N73" s="160">
        <f t="shared" si="17"/>
        <v>0</v>
      </c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</row>
    <row r="74" spans="1:27" ht="33" hidden="1" customHeight="1" outlineLevel="1">
      <c r="A74" s="101">
        <v>17</v>
      </c>
      <c r="B74" s="252" t="str">
        <f t="shared" si="6"/>
        <v/>
      </c>
      <c r="C74" s="156" t="str">
        <f t="shared" si="7"/>
        <v/>
      </c>
      <c r="D74" s="156" t="str">
        <f t="shared" si="8"/>
        <v/>
      </c>
      <c r="E74" s="157" t="str">
        <f t="shared" si="9"/>
        <v/>
      </c>
      <c r="F74" s="157" t="str">
        <f t="shared" si="10"/>
        <v/>
      </c>
      <c r="G74" s="157" t="str">
        <f t="shared" si="11"/>
        <v/>
      </c>
      <c r="H74" s="158" t="str">
        <f t="shared" si="12"/>
        <v/>
      </c>
      <c r="I74" s="126" t="str">
        <f t="shared" si="13"/>
        <v/>
      </c>
      <c r="J74" s="159" t="str">
        <f t="shared" si="16"/>
        <v/>
      </c>
      <c r="K74" s="159">
        <f t="shared" si="14"/>
        <v>0</v>
      </c>
      <c r="L74" s="159">
        <f t="shared" si="18"/>
        <v>0</v>
      </c>
      <c r="M74" s="159">
        <f t="shared" si="15"/>
        <v>0</v>
      </c>
      <c r="N74" s="160">
        <f t="shared" si="17"/>
        <v>0</v>
      </c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</row>
    <row r="75" spans="1:27" ht="33" hidden="1" customHeight="1" outlineLevel="1">
      <c r="A75" s="101">
        <v>18</v>
      </c>
      <c r="B75" s="252" t="str">
        <f t="shared" si="6"/>
        <v/>
      </c>
      <c r="C75" s="156" t="str">
        <f t="shared" si="7"/>
        <v/>
      </c>
      <c r="D75" s="156" t="str">
        <f t="shared" si="8"/>
        <v/>
      </c>
      <c r="E75" s="157" t="str">
        <f t="shared" si="9"/>
        <v/>
      </c>
      <c r="F75" s="157" t="str">
        <f t="shared" si="10"/>
        <v/>
      </c>
      <c r="G75" s="157" t="str">
        <f t="shared" si="11"/>
        <v/>
      </c>
      <c r="H75" s="158" t="str">
        <f t="shared" si="12"/>
        <v/>
      </c>
      <c r="I75" s="126" t="str">
        <f t="shared" si="13"/>
        <v/>
      </c>
      <c r="J75" s="159" t="str">
        <f t="shared" si="16"/>
        <v/>
      </c>
      <c r="K75" s="159">
        <f t="shared" si="14"/>
        <v>0</v>
      </c>
      <c r="L75" s="159">
        <f t="shared" si="18"/>
        <v>0</v>
      </c>
      <c r="M75" s="159">
        <f t="shared" si="15"/>
        <v>0</v>
      </c>
      <c r="N75" s="160">
        <f t="shared" si="17"/>
        <v>0</v>
      </c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</row>
    <row r="76" spans="1:27" ht="33" hidden="1" customHeight="1" outlineLevel="1">
      <c r="A76" s="101">
        <v>19</v>
      </c>
      <c r="B76" s="252" t="str">
        <f t="shared" si="6"/>
        <v/>
      </c>
      <c r="C76" s="156" t="str">
        <f t="shared" si="7"/>
        <v/>
      </c>
      <c r="D76" s="156" t="str">
        <f t="shared" si="8"/>
        <v/>
      </c>
      <c r="E76" s="157" t="str">
        <f t="shared" si="9"/>
        <v/>
      </c>
      <c r="F76" s="157" t="str">
        <f t="shared" si="10"/>
        <v/>
      </c>
      <c r="G76" s="157" t="str">
        <f t="shared" si="11"/>
        <v/>
      </c>
      <c r="H76" s="158" t="str">
        <f t="shared" si="12"/>
        <v/>
      </c>
      <c r="I76" s="126" t="str">
        <f t="shared" si="13"/>
        <v/>
      </c>
      <c r="J76" s="159" t="str">
        <f t="shared" si="16"/>
        <v/>
      </c>
      <c r="K76" s="159">
        <f t="shared" si="14"/>
        <v>0</v>
      </c>
      <c r="L76" s="159">
        <f t="shared" si="18"/>
        <v>0</v>
      </c>
      <c r="M76" s="159">
        <f t="shared" si="15"/>
        <v>0</v>
      </c>
      <c r="N76" s="160">
        <f t="shared" si="17"/>
        <v>0</v>
      </c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</row>
    <row r="77" spans="1:27" ht="33" hidden="1" customHeight="1" outlineLevel="1">
      <c r="A77" s="101">
        <v>20</v>
      </c>
      <c r="B77" s="252" t="str">
        <f t="shared" si="6"/>
        <v/>
      </c>
      <c r="C77" s="156" t="str">
        <f t="shared" si="7"/>
        <v/>
      </c>
      <c r="D77" s="156" t="str">
        <f t="shared" si="8"/>
        <v/>
      </c>
      <c r="E77" s="157" t="str">
        <f t="shared" si="9"/>
        <v/>
      </c>
      <c r="F77" s="157" t="str">
        <f t="shared" si="10"/>
        <v/>
      </c>
      <c r="G77" s="157" t="str">
        <f t="shared" si="11"/>
        <v/>
      </c>
      <c r="H77" s="158" t="str">
        <f t="shared" si="12"/>
        <v/>
      </c>
      <c r="I77" s="126" t="str">
        <f t="shared" si="13"/>
        <v/>
      </c>
      <c r="J77" s="159" t="str">
        <f t="shared" si="16"/>
        <v/>
      </c>
      <c r="K77" s="159">
        <f t="shared" si="14"/>
        <v>0</v>
      </c>
      <c r="L77" s="159">
        <f t="shared" si="18"/>
        <v>0</v>
      </c>
      <c r="M77" s="159">
        <f t="shared" si="15"/>
        <v>0</v>
      </c>
      <c r="N77" s="160">
        <f t="shared" si="17"/>
        <v>0</v>
      </c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</row>
    <row r="78" spans="1:27" ht="33" hidden="1" customHeight="1" outlineLevel="1">
      <c r="A78" s="101">
        <v>21</v>
      </c>
      <c r="B78" s="252" t="str">
        <f t="shared" si="6"/>
        <v/>
      </c>
      <c r="C78" s="156" t="str">
        <f t="shared" si="7"/>
        <v/>
      </c>
      <c r="D78" s="156" t="str">
        <f t="shared" si="8"/>
        <v/>
      </c>
      <c r="E78" s="157" t="str">
        <f t="shared" si="9"/>
        <v/>
      </c>
      <c r="F78" s="157" t="str">
        <f t="shared" si="10"/>
        <v/>
      </c>
      <c r="G78" s="157" t="str">
        <f t="shared" si="11"/>
        <v/>
      </c>
      <c r="H78" s="158" t="str">
        <f t="shared" si="12"/>
        <v/>
      </c>
      <c r="I78" s="126" t="str">
        <f t="shared" si="13"/>
        <v/>
      </c>
      <c r="J78" s="159" t="str">
        <f t="shared" si="16"/>
        <v/>
      </c>
      <c r="K78" s="159">
        <f t="shared" si="14"/>
        <v>0</v>
      </c>
      <c r="L78" s="159">
        <f t="shared" si="18"/>
        <v>0</v>
      </c>
      <c r="M78" s="159">
        <f t="shared" si="15"/>
        <v>0</v>
      </c>
      <c r="N78" s="160">
        <f t="shared" si="17"/>
        <v>0</v>
      </c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</row>
    <row r="79" spans="1:27" ht="33" hidden="1" customHeight="1" outlineLevel="1">
      <c r="A79" s="101">
        <v>22</v>
      </c>
      <c r="B79" s="252" t="str">
        <f t="shared" si="6"/>
        <v/>
      </c>
      <c r="C79" s="156" t="str">
        <f t="shared" si="7"/>
        <v/>
      </c>
      <c r="D79" s="156" t="str">
        <f t="shared" si="8"/>
        <v/>
      </c>
      <c r="E79" s="157" t="str">
        <f t="shared" si="9"/>
        <v/>
      </c>
      <c r="F79" s="157" t="str">
        <f t="shared" si="10"/>
        <v/>
      </c>
      <c r="G79" s="157" t="str">
        <f t="shared" si="11"/>
        <v/>
      </c>
      <c r="H79" s="158" t="str">
        <f t="shared" si="12"/>
        <v/>
      </c>
      <c r="I79" s="126" t="str">
        <f t="shared" si="13"/>
        <v/>
      </c>
      <c r="J79" s="159" t="str">
        <f t="shared" si="16"/>
        <v/>
      </c>
      <c r="K79" s="159">
        <f t="shared" si="14"/>
        <v>0</v>
      </c>
      <c r="L79" s="159">
        <f t="shared" si="18"/>
        <v>0</v>
      </c>
      <c r="M79" s="159">
        <f t="shared" si="15"/>
        <v>0</v>
      </c>
      <c r="N79" s="160">
        <f t="shared" si="17"/>
        <v>0</v>
      </c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</row>
    <row r="80" spans="1:27" ht="33" hidden="1" customHeight="1" outlineLevel="1">
      <c r="A80" s="101">
        <v>23</v>
      </c>
      <c r="B80" s="252" t="str">
        <f t="shared" si="6"/>
        <v/>
      </c>
      <c r="C80" s="156" t="str">
        <f t="shared" si="7"/>
        <v/>
      </c>
      <c r="D80" s="156" t="str">
        <f t="shared" si="8"/>
        <v/>
      </c>
      <c r="E80" s="157" t="str">
        <f t="shared" si="9"/>
        <v/>
      </c>
      <c r="F80" s="157" t="str">
        <f t="shared" si="10"/>
        <v/>
      </c>
      <c r="G80" s="157" t="str">
        <f t="shared" si="11"/>
        <v/>
      </c>
      <c r="H80" s="158" t="str">
        <f t="shared" si="12"/>
        <v/>
      </c>
      <c r="I80" s="126" t="str">
        <f t="shared" si="13"/>
        <v/>
      </c>
      <c r="J80" s="159" t="str">
        <f t="shared" si="16"/>
        <v/>
      </c>
      <c r="K80" s="159">
        <f t="shared" si="14"/>
        <v>0</v>
      </c>
      <c r="L80" s="159">
        <f t="shared" si="18"/>
        <v>0</v>
      </c>
      <c r="M80" s="159">
        <f t="shared" si="15"/>
        <v>0</v>
      </c>
      <c r="N80" s="160">
        <f t="shared" si="17"/>
        <v>0</v>
      </c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</row>
    <row r="81" spans="1:27" ht="33" hidden="1" customHeight="1" outlineLevel="1">
      <c r="A81" s="101">
        <v>24</v>
      </c>
      <c r="B81" s="252" t="str">
        <f t="shared" si="6"/>
        <v/>
      </c>
      <c r="C81" s="156" t="str">
        <f t="shared" si="7"/>
        <v/>
      </c>
      <c r="D81" s="156" t="str">
        <f t="shared" si="8"/>
        <v/>
      </c>
      <c r="E81" s="157" t="str">
        <f t="shared" si="9"/>
        <v/>
      </c>
      <c r="F81" s="157" t="str">
        <f t="shared" si="10"/>
        <v/>
      </c>
      <c r="G81" s="157" t="str">
        <f t="shared" si="11"/>
        <v/>
      </c>
      <c r="H81" s="158" t="str">
        <f t="shared" si="12"/>
        <v/>
      </c>
      <c r="I81" s="126" t="str">
        <f t="shared" si="13"/>
        <v/>
      </c>
      <c r="J81" s="159" t="str">
        <f t="shared" si="16"/>
        <v/>
      </c>
      <c r="K81" s="159">
        <f t="shared" si="14"/>
        <v>0</v>
      </c>
      <c r="L81" s="159">
        <f t="shared" si="18"/>
        <v>0</v>
      </c>
      <c r="M81" s="159">
        <f t="shared" si="15"/>
        <v>0</v>
      </c>
      <c r="N81" s="160">
        <f t="shared" si="17"/>
        <v>0</v>
      </c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</row>
    <row r="82" spans="1:27" ht="33" hidden="1" customHeight="1" outlineLevel="1">
      <c r="A82" s="101">
        <v>25</v>
      </c>
      <c r="B82" s="252" t="str">
        <f t="shared" si="6"/>
        <v/>
      </c>
      <c r="C82" s="156" t="str">
        <f t="shared" si="7"/>
        <v/>
      </c>
      <c r="D82" s="156" t="str">
        <f t="shared" si="8"/>
        <v/>
      </c>
      <c r="E82" s="157" t="str">
        <f t="shared" si="9"/>
        <v/>
      </c>
      <c r="F82" s="157" t="str">
        <f t="shared" si="10"/>
        <v/>
      </c>
      <c r="G82" s="157" t="str">
        <f t="shared" si="11"/>
        <v/>
      </c>
      <c r="H82" s="158" t="str">
        <f t="shared" si="12"/>
        <v/>
      </c>
      <c r="I82" s="126" t="str">
        <f t="shared" si="13"/>
        <v/>
      </c>
      <c r="J82" s="159" t="str">
        <f t="shared" si="16"/>
        <v/>
      </c>
      <c r="K82" s="159">
        <f t="shared" si="14"/>
        <v>0</v>
      </c>
      <c r="L82" s="159">
        <f t="shared" si="18"/>
        <v>0</v>
      </c>
      <c r="M82" s="159">
        <f t="shared" si="15"/>
        <v>0</v>
      </c>
      <c r="N82" s="160">
        <f t="shared" si="17"/>
        <v>0</v>
      </c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</row>
    <row r="83" spans="1:27" ht="33" hidden="1" customHeight="1" outlineLevel="1">
      <c r="A83" s="101">
        <v>26</v>
      </c>
      <c r="B83" s="252" t="str">
        <f t="shared" si="6"/>
        <v/>
      </c>
      <c r="C83" s="156" t="str">
        <f t="shared" si="7"/>
        <v/>
      </c>
      <c r="D83" s="156" t="str">
        <f t="shared" si="8"/>
        <v/>
      </c>
      <c r="E83" s="157" t="str">
        <f t="shared" si="9"/>
        <v/>
      </c>
      <c r="F83" s="157" t="str">
        <f t="shared" si="10"/>
        <v/>
      </c>
      <c r="G83" s="157" t="str">
        <f t="shared" si="11"/>
        <v/>
      </c>
      <c r="H83" s="158" t="str">
        <f t="shared" si="12"/>
        <v/>
      </c>
      <c r="I83" s="126" t="str">
        <f t="shared" si="13"/>
        <v/>
      </c>
      <c r="J83" s="159" t="str">
        <f t="shared" si="16"/>
        <v/>
      </c>
      <c r="K83" s="159">
        <f t="shared" si="14"/>
        <v>0</v>
      </c>
      <c r="L83" s="159">
        <f t="shared" si="18"/>
        <v>0</v>
      </c>
      <c r="M83" s="159">
        <f t="shared" si="15"/>
        <v>0</v>
      </c>
      <c r="N83" s="160">
        <f t="shared" si="17"/>
        <v>0</v>
      </c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</row>
    <row r="84" spans="1:27" ht="33" hidden="1" customHeight="1" outlineLevel="1">
      <c r="A84" s="101">
        <v>27</v>
      </c>
      <c r="B84" s="252" t="str">
        <f t="shared" si="6"/>
        <v/>
      </c>
      <c r="C84" s="156" t="str">
        <f t="shared" si="7"/>
        <v/>
      </c>
      <c r="D84" s="156" t="str">
        <f t="shared" si="8"/>
        <v/>
      </c>
      <c r="E84" s="157" t="str">
        <f t="shared" si="9"/>
        <v/>
      </c>
      <c r="F84" s="157" t="str">
        <f t="shared" si="10"/>
        <v/>
      </c>
      <c r="G84" s="157" t="str">
        <f t="shared" si="11"/>
        <v/>
      </c>
      <c r="H84" s="158" t="str">
        <f t="shared" si="12"/>
        <v/>
      </c>
      <c r="I84" s="126" t="str">
        <f t="shared" si="13"/>
        <v/>
      </c>
      <c r="J84" s="159" t="str">
        <f t="shared" si="16"/>
        <v/>
      </c>
      <c r="K84" s="159">
        <f t="shared" si="14"/>
        <v>0</v>
      </c>
      <c r="L84" s="159">
        <f t="shared" si="18"/>
        <v>0</v>
      </c>
      <c r="M84" s="159">
        <f t="shared" si="15"/>
        <v>0</v>
      </c>
      <c r="N84" s="160">
        <f t="shared" si="17"/>
        <v>0</v>
      </c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</row>
    <row r="85" spans="1:27" ht="33" hidden="1" customHeight="1" outlineLevel="1">
      <c r="A85" s="101">
        <v>28</v>
      </c>
      <c r="B85" s="252" t="str">
        <f t="shared" si="6"/>
        <v/>
      </c>
      <c r="C85" s="156" t="str">
        <f t="shared" si="7"/>
        <v/>
      </c>
      <c r="D85" s="156" t="str">
        <f t="shared" si="8"/>
        <v/>
      </c>
      <c r="E85" s="157" t="str">
        <f t="shared" si="9"/>
        <v/>
      </c>
      <c r="F85" s="157" t="str">
        <f t="shared" si="10"/>
        <v/>
      </c>
      <c r="G85" s="157" t="str">
        <f t="shared" si="11"/>
        <v/>
      </c>
      <c r="H85" s="158" t="str">
        <f t="shared" si="12"/>
        <v/>
      </c>
      <c r="I85" s="126" t="str">
        <f t="shared" si="13"/>
        <v/>
      </c>
      <c r="J85" s="159" t="str">
        <f t="shared" si="16"/>
        <v/>
      </c>
      <c r="K85" s="159">
        <f t="shared" si="14"/>
        <v>0</v>
      </c>
      <c r="L85" s="159">
        <f t="shared" si="18"/>
        <v>0</v>
      </c>
      <c r="M85" s="159">
        <f t="shared" si="15"/>
        <v>0</v>
      </c>
      <c r="N85" s="160">
        <f t="shared" si="17"/>
        <v>0</v>
      </c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</row>
    <row r="86" spans="1:27" ht="33" hidden="1" customHeight="1" outlineLevel="1">
      <c r="A86" s="101">
        <v>29</v>
      </c>
      <c r="B86" s="252" t="str">
        <f t="shared" si="6"/>
        <v/>
      </c>
      <c r="C86" s="156" t="str">
        <f t="shared" si="7"/>
        <v/>
      </c>
      <c r="D86" s="156" t="str">
        <f t="shared" si="8"/>
        <v/>
      </c>
      <c r="E86" s="157" t="str">
        <f t="shared" si="9"/>
        <v/>
      </c>
      <c r="F86" s="157" t="str">
        <f t="shared" si="10"/>
        <v/>
      </c>
      <c r="G86" s="157" t="str">
        <f t="shared" si="11"/>
        <v/>
      </c>
      <c r="H86" s="158" t="str">
        <f t="shared" si="12"/>
        <v/>
      </c>
      <c r="I86" s="126" t="str">
        <f t="shared" si="13"/>
        <v/>
      </c>
      <c r="J86" s="159" t="str">
        <f t="shared" si="16"/>
        <v/>
      </c>
      <c r="K86" s="159">
        <f t="shared" si="14"/>
        <v>0</v>
      </c>
      <c r="L86" s="159">
        <f t="shared" si="18"/>
        <v>0</v>
      </c>
      <c r="M86" s="159">
        <f t="shared" si="15"/>
        <v>0</v>
      </c>
      <c r="N86" s="160">
        <f t="shared" si="17"/>
        <v>0</v>
      </c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</row>
    <row r="87" spans="1:27" ht="33" hidden="1" customHeight="1" outlineLevel="1">
      <c r="A87" s="101">
        <v>30</v>
      </c>
      <c r="B87" s="252" t="str">
        <f t="shared" si="6"/>
        <v/>
      </c>
      <c r="C87" s="156" t="str">
        <f t="shared" si="7"/>
        <v/>
      </c>
      <c r="D87" s="156" t="str">
        <f t="shared" si="8"/>
        <v/>
      </c>
      <c r="E87" s="157" t="str">
        <f t="shared" si="9"/>
        <v/>
      </c>
      <c r="F87" s="157" t="str">
        <f t="shared" si="10"/>
        <v/>
      </c>
      <c r="G87" s="157" t="str">
        <f t="shared" si="11"/>
        <v/>
      </c>
      <c r="H87" s="158" t="str">
        <f t="shared" si="12"/>
        <v/>
      </c>
      <c r="I87" s="126" t="str">
        <f t="shared" si="13"/>
        <v/>
      </c>
      <c r="J87" s="159" t="str">
        <f t="shared" si="16"/>
        <v/>
      </c>
      <c r="K87" s="159">
        <f t="shared" si="14"/>
        <v>0</v>
      </c>
      <c r="L87" s="159">
        <f t="shared" si="18"/>
        <v>0</v>
      </c>
      <c r="M87" s="159">
        <f t="shared" si="15"/>
        <v>0</v>
      </c>
      <c r="N87" s="160">
        <f t="shared" si="17"/>
        <v>0</v>
      </c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</row>
    <row r="88" spans="1:27" ht="33" hidden="1" customHeight="1" outlineLevel="1">
      <c r="A88" s="101">
        <v>31</v>
      </c>
      <c r="B88" s="252" t="str">
        <f t="shared" si="6"/>
        <v/>
      </c>
      <c r="C88" s="156" t="str">
        <f t="shared" si="7"/>
        <v/>
      </c>
      <c r="D88" s="156" t="str">
        <f t="shared" si="8"/>
        <v/>
      </c>
      <c r="E88" s="157" t="str">
        <f t="shared" si="9"/>
        <v/>
      </c>
      <c r="F88" s="157" t="str">
        <f t="shared" si="10"/>
        <v/>
      </c>
      <c r="G88" s="157" t="str">
        <f t="shared" si="11"/>
        <v/>
      </c>
      <c r="H88" s="158" t="str">
        <f t="shared" si="12"/>
        <v/>
      </c>
      <c r="I88" s="126" t="str">
        <f t="shared" si="13"/>
        <v/>
      </c>
      <c r="J88" s="159" t="str">
        <f t="shared" si="16"/>
        <v/>
      </c>
      <c r="K88" s="159">
        <f t="shared" si="14"/>
        <v>0</v>
      </c>
      <c r="L88" s="159">
        <f t="shared" si="18"/>
        <v>0</v>
      </c>
      <c r="M88" s="159">
        <f t="shared" si="15"/>
        <v>0</v>
      </c>
      <c r="N88" s="160">
        <f t="shared" si="17"/>
        <v>0</v>
      </c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</row>
    <row r="89" spans="1:27" ht="33" hidden="1" customHeight="1" outlineLevel="1">
      <c r="A89" s="101">
        <v>32</v>
      </c>
      <c r="B89" s="252" t="str">
        <f t="shared" si="6"/>
        <v/>
      </c>
      <c r="C89" s="156" t="str">
        <f t="shared" si="7"/>
        <v/>
      </c>
      <c r="D89" s="156" t="str">
        <f t="shared" si="8"/>
        <v/>
      </c>
      <c r="E89" s="157" t="str">
        <f t="shared" si="9"/>
        <v/>
      </c>
      <c r="F89" s="157" t="str">
        <f t="shared" si="10"/>
        <v/>
      </c>
      <c r="G89" s="157" t="str">
        <f t="shared" si="11"/>
        <v/>
      </c>
      <c r="H89" s="158" t="str">
        <f t="shared" si="12"/>
        <v/>
      </c>
      <c r="I89" s="126" t="str">
        <f t="shared" si="13"/>
        <v/>
      </c>
      <c r="J89" s="159" t="str">
        <f t="shared" si="16"/>
        <v/>
      </c>
      <c r="K89" s="159">
        <f t="shared" si="14"/>
        <v>0</v>
      </c>
      <c r="L89" s="159">
        <f t="shared" si="18"/>
        <v>0</v>
      </c>
      <c r="M89" s="159">
        <f t="shared" si="15"/>
        <v>0</v>
      </c>
      <c r="N89" s="160">
        <f t="shared" si="17"/>
        <v>0</v>
      </c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</row>
    <row r="90" spans="1:27" ht="33" hidden="1" customHeight="1" outlineLevel="1">
      <c r="A90" s="101">
        <v>33</v>
      </c>
      <c r="B90" s="252" t="str">
        <f t="shared" si="6"/>
        <v/>
      </c>
      <c r="C90" s="156" t="str">
        <f t="shared" si="7"/>
        <v/>
      </c>
      <c r="D90" s="156" t="str">
        <f t="shared" si="8"/>
        <v/>
      </c>
      <c r="E90" s="157" t="str">
        <f t="shared" si="9"/>
        <v/>
      </c>
      <c r="F90" s="157" t="str">
        <f t="shared" si="10"/>
        <v/>
      </c>
      <c r="G90" s="157" t="str">
        <f t="shared" si="11"/>
        <v/>
      </c>
      <c r="H90" s="158" t="str">
        <f t="shared" si="12"/>
        <v/>
      </c>
      <c r="I90" s="126" t="str">
        <f t="shared" si="13"/>
        <v/>
      </c>
      <c r="J90" s="159" t="str">
        <f t="shared" si="16"/>
        <v/>
      </c>
      <c r="K90" s="159">
        <f t="shared" si="14"/>
        <v>0</v>
      </c>
      <c r="L90" s="159">
        <f t="shared" si="18"/>
        <v>0</v>
      </c>
      <c r="M90" s="159">
        <f t="shared" si="15"/>
        <v>0</v>
      </c>
      <c r="N90" s="160">
        <f t="shared" si="17"/>
        <v>0</v>
      </c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</row>
    <row r="91" spans="1:27" ht="33" hidden="1" customHeight="1" outlineLevel="1">
      <c r="A91" s="101">
        <v>34</v>
      </c>
      <c r="B91" s="252" t="str">
        <f t="shared" si="6"/>
        <v/>
      </c>
      <c r="C91" s="156" t="str">
        <f t="shared" si="7"/>
        <v/>
      </c>
      <c r="D91" s="156" t="str">
        <f t="shared" si="8"/>
        <v/>
      </c>
      <c r="E91" s="157" t="str">
        <f t="shared" si="9"/>
        <v/>
      </c>
      <c r="F91" s="157" t="str">
        <f t="shared" si="10"/>
        <v/>
      </c>
      <c r="G91" s="157" t="str">
        <f t="shared" si="11"/>
        <v/>
      </c>
      <c r="H91" s="158" t="str">
        <f t="shared" si="12"/>
        <v/>
      </c>
      <c r="I91" s="126" t="str">
        <f t="shared" si="13"/>
        <v/>
      </c>
      <c r="J91" s="159" t="str">
        <f t="shared" si="16"/>
        <v/>
      </c>
      <c r="K91" s="159">
        <f t="shared" si="14"/>
        <v>0</v>
      </c>
      <c r="L91" s="159">
        <f t="shared" si="18"/>
        <v>0</v>
      </c>
      <c r="M91" s="159">
        <f t="shared" si="15"/>
        <v>0</v>
      </c>
      <c r="N91" s="160">
        <f t="shared" si="17"/>
        <v>0</v>
      </c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</row>
    <row r="92" spans="1:27" ht="33" hidden="1" customHeight="1" outlineLevel="1">
      <c r="A92" s="101">
        <v>35</v>
      </c>
      <c r="B92" s="252" t="str">
        <f t="shared" si="6"/>
        <v/>
      </c>
      <c r="C92" s="156" t="str">
        <f t="shared" si="7"/>
        <v/>
      </c>
      <c r="D92" s="156" t="str">
        <f t="shared" si="8"/>
        <v/>
      </c>
      <c r="E92" s="157" t="str">
        <f t="shared" si="9"/>
        <v/>
      </c>
      <c r="F92" s="157" t="str">
        <f t="shared" si="10"/>
        <v/>
      </c>
      <c r="G92" s="157" t="str">
        <f t="shared" si="11"/>
        <v/>
      </c>
      <c r="H92" s="158" t="str">
        <f t="shared" si="12"/>
        <v/>
      </c>
      <c r="I92" s="126" t="str">
        <f t="shared" si="13"/>
        <v/>
      </c>
      <c r="J92" s="159" t="str">
        <f t="shared" si="16"/>
        <v/>
      </c>
      <c r="K92" s="159">
        <f t="shared" si="14"/>
        <v>0</v>
      </c>
      <c r="L92" s="159">
        <f t="shared" si="18"/>
        <v>0</v>
      </c>
      <c r="M92" s="159">
        <f t="shared" si="15"/>
        <v>0</v>
      </c>
      <c r="N92" s="160">
        <f t="shared" si="17"/>
        <v>0</v>
      </c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</row>
    <row r="93" spans="1:27" ht="15" hidden="1" customHeight="1" outlineLevel="1">
      <c r="A93" s="101">
        <v>36</v>
      </c>
      <c r="B93" s="252" t="str">
        <f t="shared" si="6"/>
        <v/>
      </c>
      <c r="C93" s="156" t="str">
        <f t="shared" si="7"/>
        <v/>
      </c>
      <c r="D93" s="156" t="str">
        <f t="shared" si="8"/>
        <v/>
      </c>
      <c r="E93" s="157" t="str">
        <f t="shared" si="9"/>
        <v/>
      </c>
      <c r="F93" s="157" t="str">
        <f t="shared" si="10"/>
        <v/>
      </c>
      <c r="G93" s="157" t="str">
        <f t="shared" si="11"/>
        <v/>
      </c>
      <c r="H93" s="158" t="str">
        <f t="shared" si="12"/>
        <v/>
      </c>
      <c r="I93" s="126" t="str">
        <f t="shared" si="13"/>
        <v/>
      </c>
      <c r="J93" s="159" t="str">
        <f t="shared" si="16"/>
        <v/>
      </c>
      <c r="K93" s="159">
        <f t="shared" si="14"/>
        <v>0</v>
      </c>
      <c r="L93" s="159">
        <f t="shared" si="18"/>
        <v>0</v>
      </c>
      <c r="M93" s="159">
        <f t="shared" si="15"/>
        <v>0</v>
      </c>
      <c r="N93" s="160">
        <f t="shared" si="17"/>
        <v>0</v>
      </c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</row>
    <row r="94" spans="1:27" ht="26.25" hidden="1" customHeight="1" collapsed="1">
      <c r="A94" s="101">
        <v>2</v>
      </c>
      <c r="B94" s="252" t="str">
        <f>IF(+B53="","",+B53)</f>
        <v/>
      </c>
      <c r="C94" s="156" t="str">
        <f>IF($B94="","",+(1-$L53)*$K53*$C$57)</f>
        <v/>
      </c>
      <c r="D94" s="156" t="str">
        <f>IF($B94="","",+$C94*((1+$D$57/30)^$F53-1))</f>
        <v/>
      </c>
      <c r="E94" s="157" t="str">
        <f t="shared" si="9"/>
        <v/>
      </c>
      <c r="F94" s="157" t="str">
        <f t="shared" si="10"/>
        <v/>
      </c>
      <c r="G94" s="157" t="str">
        <f t="shared" si="11"/>
        <v/>
      </c>
      <c r="H94" s="158" t="str">
        <f>IF(B94="","",E53)</f>
        <v/>
      </c>
      <c r="I94" s="126" t="str">
        <f>IFERROR(+H94-E53,"")</f>
        <v/>
      </c>
      <c r="J94" s="159" t="str">
        <f t="shared" si="16"/>
        <v/>
      </c>
      <c r="K94" s="159">
        <f>IF(I94&lt;0,IFERROR(+((1+$D$57/30)^(F53+I94)-1)*(C94),0)-D94,IFERROR(+((1+$D$57/30)^(I94)-1)*(C94),0))</f>
        <v>0</v>
      </c>
      <c r="L94" s="159">
        <f t="shared" si="18"/>
        <v>0</v>
      </c>
      <c r="M94" s="159">
        <f t="shared" si="15"/>
        <v>0</v>
      </c>
      <c r="N94" s="160">
        <f t="shared" si="17"/>
        <v>0</v>
      </c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</row>
    <row r="95" spans="1:27" ht="24.75" customHeight="1">
      <c r="A95" s="101"/>
      <c r="B95" s="161"/>
      <c r="C95" s="162">
        <f>SUM(C58:C94)</f>
        <v>7435.5384836728017</v>
      </c>
      <c r="D95" s="162">
        <f>SUM(D58:D94)</f>
        <v>156.49898866028138</v>
      </c>
      <c r="E95" s="162">
        <f>SUM(E58:E94)</f>
        <v>28.169817958850647</v>
      </c>
      <c r="F95" s="163">
        <f>IF($C$95=0,0,+$G$12)</f>
        <v>37.177692418364011</v>
      </c>
      <c r="G95" s="142">
        <f>SUM(G58:G94)</f>
        <v>7213.6919846353057</v>
      </c>
      <c r="H95" s="109"/>
      <c r="I95" s="109"/>
      <c r="J95" s="142">
        <f>SUM(J58:J94)</f>
        <v>7435.5384836728017</v>
      </c>
      <c r="K95" s="142">
        <f>SUM(K58:K94)</f>
        <v>0</v>
      </c>
      <c r="L95" s="142">
        <f>SUM(L58:L94)</f>
        <v>0</v>
      </c>
      <c r="M95" s="142">
        <f>SUM(M58:M94)</f>
        <v>0</v>
      </c>
      <c r="N95" s="142">
        <f>SUM(N58:N94)</f>
        <v>7435.5384836728017</v>
      </c>
      <c r="O95" s="164"/>
      <c r="P95" s="164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</row>
    <row r="96" spans="1:27" ht="19.5" customHeight="1">
      <c r="A96" s="101"/>
      <c r="B96" s="165"/>
      <c r="C96" s="166"/>
      <c r="D96" s="167"/>
      <c r="E96" s="101"/>
      <c r="F96" s="168" t="s">
        <v>59</v>
      </c>
      <c r="G96" s="169">
        <f>0.18*F95</f>
        <v>6.6919846353055217</v>
      </c>
      <c r="H96" s="73"/>
      <c r="I96" s="170"/>
      <c r="J96" s="73"/>
      <c r="K96" s="171"/>
      <c r="L96" s="73"/>
      <c r="M96" s="73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</row>
    <row r="97" spans="1:26" ht="19.5" customHeight="1" thickBot="1">
      <c r="A97" s="101"/>
      <c r="B97" s="165"/>
      <c r="C97" s="166"/>
      <c r="D97" s="166"/>
      <c r="E97" s="101"/>
      <c r="F97" s="172" t="s">
        <v>28</v>
      </c>
      <c r="G97" s="173">
        <f>+G95-G96</f>
        <v>7207</v>
      </c>
      <c r="H97" s="266"/>
      <c r="I97" s="174" t="s">
        <v>60</v>
      </c>
      <c r="J97" s="267">
        <v>7207</v>
      </c>
      <c r="K97" s="175">
        <f>+G97-J97</f>
        <v>0</v>
      </c>
      <c r="L97" s="73"/>
      <c r="M97" s="73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</row>
    <row r="98" spans="1:26" ht="16.5" customHeight="1">
      <c r="A98" s="101"/>
      <c r="B98" s="101"/>
      <c r="C98" s="176"/>
      <c r="D98" s="102"/>
      <c r="E98" s="177"/>
      <c r="F98" s="177"/>
      <c r="G98" s="71"/>
      <c r="L98" s="73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</row>
    <row r="99" spans="1:26" ht="16.5" customHeight="1">
      <c r="A99" s="101"/>
      <c r="B99" s="313" t="s">
        <v>61</v>
      </c>
      <c r="C99" s="313"/>
      <c r="D99" s="178"/>
      <c r="E99" s="179"/>
      <c r="F99" s="180"/>
      <c r="G99" s="180"/>
      <c r="H99" s="314" t="s">
        <v>62</v>
      </c>
      <c r="I99" s="314"/>
      <c r="J99" s="181"/>
      <c r="K99" s="182"/>
      <c r="L99" s="183"/>
      <c r="M99" s="183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</row>
    <row r="100" spans="1:26" ht="16.5" customHeight="1">
      <c r="A100" s="101"/>
      <c r="B100" s="296" t="s">
        <v>63</v>
      </c>
      <c r="C100" s="297"/>
      <c r="D100" s="184">
        <f>+$M$54-$C$95</f>
        <v>154.4615163271983</v>
      </c>
      <c r="E100" s="185">
        <f>IF(D100=0,"",+D100/$M$54)</f>
        <v>2.0350660912674349E-2</v>
      </c>
      <c r="F100" s="186" t="s">
        <v>64</v>
      </c>
      <c r="G100" s="187">
        <f>IFERROR(LN(1+($D$100/1.18)/$C$95)/LN(1+$D$57/30),0)</f>
        <v>41.892138022803323</v>
      </c>
      <c r="H100" s="298" t="s">
        <v>63</v>
      </c>
      <c r="I100" s="299"/>
      <c r="J100" s="184">
        <f>+$M$54-$C$95-$K$111</f>
        <v>154.4615163271983</v>
      </c>
      <c r="K100" s="188"/>
      <c r="L100" s="189"/>
      <c r="M100" s="190">
        <f>IFERROR(LN(1+($D$100/1.18)/$C$95)/LN(1+$D$57/30),0)</f>
        <v>41.892138022803323</v>
      </c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</row>
    <row r="101" spans="1:26" ht="16.5" customHeight="1">
      <c r="A101" s="101"/>
      <c r="B101" s="296" t="s">
        <v>19</v>
      </c>
      <c r="C101" s="297"/>
      <c r="D101" s="191">
        <f>+$E$95+$G$96</f>
        <v>34.861802594156167</v>
      </c>
      <c r="E101" s="192">
        <f>IFERROR(+D101/$M$54,"")</f>
        <v>4.5931228714303253E-3</v>
      </c>
      <c r="F101" s="193"/>
      <c r="G101" s="194"/>
      <c r="H101" s="298" t="s">
        <v>19</v>
      </c>
      <c r="I101" s="299"/>
      <c r="J101" s="191">
        <f>+$E$95+$G$96+$K$110</f>
        <v>34.861802594156167</v>
      </c>
      <c r="K101" s="195">
        <f>IFERROR(+J101/$M$54,"")</f>
        <v>4.5931228714303253E-3</v>
      </c>
      <c r="L101" s="196"/>
      <c r="M101" s="197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</row>
    <row r="102" spans="1:26" ht="16.5" customHeight="1">
      <c r="A102" s="101"/>
      <c r="B102" s="296" t="s">
        <v>65</v>
      </c>
      <c r="C102" s="297"/>
      <c r="D102" s="198">
        <f>+$C$109+$G$109</f>
        <v>193.6766810786454</v>
      </c>
      <c r="E102" s="192">
        <f t="shared" ref="E102:E103" si="19">IFERROR(+D102/$M$54,"")</f>
        <v>2.5517349285724033E-2</v>
      </c>
      <c r="F102" s="193"/>
      <c r="G102" s="194"/>
      <c r="H102" s="298" t="s">
        <v>65</v>
      </c>
      <c r="I102" s="299"/>
      <c r="J102" s="198">
        <f>+$C$109+$G$109+$K$109</f>
        <v>193.6766810786454</v>
      </c>
      <c r="K102" s="195">
        <f t="shared" ref="K102:K103" si="20">IFERROR(+J102/$M$54,"")</f>
        <v>2.5517349285724033E-2</v>
      </c>
      <c r="L102" s="196"/>
      <c r="M102" s="197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</row>
    <row r="103" spans="1:26" ht="16.5" customHeight="1">
      <c r="A103" s="101"/>
      <c r="B103" s="296" t="s">
        <v>66</v>
      </c>
      <c r="C103" s="297"/>
      <c r="D103" s="169">
        <f>+$G$97</f>
        <v>7207</v>
      </c>
      <c r="E103" s="199">
        <f t="shared" si="19"/>
        <v>0.94953886693017131</v>
      </c>
      <c r="F103" s="193"/>
      <c r="G103" s="194"/>
      <c r="H103" s="298" t="s">
        <v>66</v>
      </c>
      <c r="I103" s="299"/>
      <c r="J103" s="169">
        <f>+$G$97</f>
        <v>7207</v>
      </c>
      <c r="K103" s="200">
        <f t="shared" si="20"/>
        <v>0.94953886693017131</v>
      </c>
      <c r="L103" s="196"/>
      <c r="M103" s="197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</row>
    <row r="104" spans="1:26" ht="16.5" customHeight="1">
      <c r="A104" s="101"/>
      <c r="B104" s="193"/>
      <c r="C104" s="201"/>
      <c r="D104" s="202"/>
      <c r="E104" s="192">
        <f>SUM(E100:E103)</f>
        <v>1</v>
      </c>
      <c r="F104" s="193"/>
      <c r="G104" s="194"/>
      <c r="H104" s="196"/>
      <c r="I104" s="203"/>
      <c r="J104" s="204"/>
      <c r="K104" s="195">
        <f>SUM(K100:K103)</f>
        <v>0.97964933908732565</v>
      </c>
      <c r="L104" s="196"/>
      <c r="M104" s="197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</row>
    <row r="105" spans="1:26" ht="16.5" customHeight="1">
      <c r="A105" s="101"/>
      <c r="B105" s="101"/>
      <c r="C105" s="101"/>
      <c r="D105" s="102"/>
      <c r="E105" s="177"/>
      <c r="F105" s="177"/>
      <c r="G105" s="166"/>
      <c r="H105" s="73"/>
      <c r="I105" s="205"/>
      <c r="J105" s="206"/>
      <c r="K105" s="207"/>
      <c r="L105" s="73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</row>
    <row r="106" spans="1:26" ht="16.5" customHeight="1" thickBot="1">
      <c r="A106" s="101"/>
      <c r="B106" s="85" t="s">
        <v>67</v>
      </c>
      <c r="C106" s="101"/>
      <c r="D106" s="102"/>
      <c r="E106" s="177"/>
      <c r="F106" s="208" t="s">
        <v>68</v>
      </c>
      <c r="G106" s="208"/>
      <c r="I106" s="208" t="s">
        <v>69</v>
      </c>
      <c r="K106" s="208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</row>
    <row r="107" spans="1:26" ht="16.5" customHeight="1">
      <c r="A107" s="101"/>
      <c r="B107" s="300" t="str">
        <f>+C5</f>
        <v>TRANSPORTES SANTA FE DEL NORTE SAC</v>
      </c>
      <c r="C107" s="301"/>
      <c r="D107" s="302"/>
      <c r="E107" s="177"/>
      <c r="F107" s="303" t="str">
        <f>+C5</f>
        <v>TRANSPORTES SANTA FE DEL NORTE SAC</v>
      </c>
      <c r="G107" s="304"/>
      <c r="I107" s="300" t="str">
        <f>+C5</f>
        <v>TRANSPORTES SANTA FE DEL NORTE SAC</v>
      </c>
      <c r="J107" s="301"/>
      <c r="K107" s="209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</row>
    <row r="108" spans="1:26" ht="16.5" customHeight="1" thickBot="1">
      <c r="A108" s="101"/>
      <c r="B108" s="289" t="s">
        <v>70</v>
      </c>
      <c r="C108" s="290"/>
      <c r="D108" s="291"/>
      <c r="E108" s="177"/>
      <c r="F108" s="292" t="s">
        <v>70</v>
      </c>
      <c r="G108" s="293"/>
      <c r="I108" s="294" t="s">
        <v>70</v>
      </c>
      <c r="J108" s="295"/>
      <c r="K108" s="210"/>
      <c r="M108" s="73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</row>
    <row r="109" spans="1:26" ht="16.5" customHeight="1">
      <c r="A109" s="101"/>
      <c r="B109" s="211" t="s">
        <v>25</v>
      </c>
      <c r="C109" s="277">
        <f>+D95</f>
        <v>156.49898866028138</v>
      </c>
      <c r="D109" s="278"/>
      <c r="E109" s="177"/>
      <c r="F109" s="212" t="s">
        <v>26</v>
      </c>
      <c r="G109" s="213">
        <f>+F95</f>
        <v>37.177692418364011</v>
      </c>
      <c r="I109" s="279" t="s">
        <v>71</v>
      </c>
      <c r="J109" s="280"/>
      <c r="K109" s="214">
        <f>+$K$95+$L$95</f>
        <v>0</v>
      </c>
      <c r="M109" s="73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</row>
    <row r="110" spans="1:26" ht="16.5" customHeight="1" thickBot="1">
      <c r="A110" s="101"/>
      <c r="B110" s="215" t="s">
        <v>19</v>
      </c>
      <c r="C110" s="281">
        <f>E95</f>
        <v>28.169817958850647</v>
      </c>
      <c r="D110" s="282"/>
      <c r="E110" s="177"/>
      <c r="F110" s="216" t="s">
        <v>19</v>
      </c>
      <c r="G110" s="217">
        <f>+G109*$E$57</f>
        <v>6.6919846353055217</v>
      </c>
      <c r="I110" s="283" t="s">
        <v>19</v>
      </c>
      <c r="J110" s="284"/>
      <c r="K110" s="218">
        <f>+K109*$E$57</f>
        <v>0</v>
      </c>
      <c r="M110" s="73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</row>
    <row r="111" spans="1:26" ht="19.5" customHeight="1" thickBot="1">
      <c r="A111" s="101"/>
      <c r="B111" s="219" t="s">
        <v>28</v>
      </c>
      <c r="C111" s="285">
        <f>ROUND(C109,2)+ROUND(C110,2)</f>
        <v>184.67000000000002</v>
      </c>
      <c r="D111" s="286"/>
      <c r="E111" s="177"/>
      <c r="F111" s="220" t="s">
        <v>28</v>
      </c>
      <c r="G111" s="221">
        <f>ROUND(G109,2)+ROUND(G110,2)</f>
        <v>43.87</v>
      </c>
      <c r="I111" s="287" t="s">
        <v>28</v>
      </c>
      <c r="J111" s="288"/>
      <c r="K111" s="222">
        <f>ROUND(K109,2)+ROUND(K110,2)</f>
        <v>0</v>
      </c>
      <c r="M111" s="73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</row>
    <row r="112" spans="1:26" ht="14.25" customHeight="1">
      <c r="A112" s="101"/>
      <c r="B112" s="101"/>
      <c r="C112" s="101"/>
      <c r="D112" s="101"/>
      <c r="E112" s="177"/>
      <c r="F112" s="177"/>
      <c r="G112" s="101"/>
      <c r="H112" s="109"/>
      <c r="I112" s="223"/>
      <c r="J112" s="101"/>
      <c r="K112" s="74"/>
      <c r="M112" s="73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</row>
    <row r="113" spans="1:26" ht="12.75" customHeight="1">
      <c r="A113" s="73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3"/>
      <c r="M113" s="73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</row>
    <row r="114" spans="1:26" ht="12.75" customHeight="1">
      <c r="A114" s="73"/>
      <c r="B114" s="73"/>
      <c r="C114" s="73"/>
      <c r="D114" s="73"/>
      <c r="E114" s="73"/>
      <c r="F114" s="73"/>
      <c r="G114" s="73"/>
      <c r="H114" s="74"/>
      <c r="I114" s="73"/>
      <c r="J114" s="73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</row>
    <row r="115" spans="1:26" ht="12.75" customHeight="1">
      <c r="A115" s="73"/>
      <c r="B115" s="73"/>
      <c r="C115" s="73"/>
      <c r="D115" s="73"/>
      <c r="E115" s="73"/>
      <c r="F115" s="73"/>
      <c r="G115" s="74"/>
      <c r="H115" s="74"/>
      <c r="I115" s="73"/>
      <c r="J115" s="73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</row>
    <row r="116" spans="1:26" ht="12.75" customHeight="1">
      <c r="A116" s="73"/>
      <c r="B116" s="73"/>
      <c r="C116" s="73"/>
      <c r="D116" s="73"/>
      <c r="E116" s="73"/>
      <c r="F116" s="73"/>
      <c r="G116" s="73"/>
      <c r="H116" s="74"/>
      <c r="I116" s="73"/>
      <c r="J116" s="73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</row>
    <row r="117" spans="1:26" ht="12.75" customHeight="1">
      <c r="A117" s="70"/>
      <c r="B117" s="70"/>
      <c r="C117" s="70"/>
      <c r="D117" s="70"/>
      <c r="E117" s="70"/>
      <c r="F117" s="70"/>
      <c r="G117" s="70"/>
      <c r="H117" s="71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</row>
    <row r="118" spans="1:26" ht="12.75" customHeight="1">
      <c r="A118" s="70"/>
      <c r="B118" s="70"/>
      <c r="C118" s="70"/>
      <c r="D118" s="70"/>
      <c r="E118" s="70"/>
      <c r="F118" s="70"/>
      <c r="G118" s="70"/>
      <c r="H118" s="71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</row>
    <row r="119" spans="1:26" ht="12.75" customHeight="1">
      <c r="A119" s="70"/>
      <c r="B119" s="70"/>
      <c r="C119" s="70"/>
      <c r="D119" s="70"/>
      <c r="E119" s="70"/>
      <c r="F119" s="70"/>
      <c r="G119" s="70"/>
      <c r="H119" s="71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</row>
    <row r="120" spans="1:26" ht="12.75" customHeight="1">
      <c r="A120" s="70"/>
      <c r="B120" s="70"/>
      <c r="C120" s="70"/>
      <c r="D120" s="70"/>
      <c r="E120" s="70"/>
      <c r="F120" s="70"/>
      <c r="G120" s="70"/>
      <c r="H120" s="71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</row>
    <row r="121" spans="1:26" ht="12.75" customHeight="1">
      <c r="A121" s="70"/>
      <c r="B121" s="70"/>
      <c r="C121" s="70"/>
      <c r="D121" s="70"/>
      <c r="E121" s="70"/>
      <c r="F121" s="70"/>
      <c r="G121" s="70"/>
      <c r="H121" s="71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</row>
    <row r="122" spans="1:26" ht="12.75" customHeight="1">
      <c r="A122" s="70"/>
      <c r="B122" s="70"/>
      <c r="C122" s="70"/>
      <c r="D122" s="70"/>
      <c r="E122" s="70"/>
      <c r="F122" s="70"/>
      <c r="G122" s="70"/>
      <c r="H122" s="71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</row>
    <row r="123" spans="1:26" ht="12.75" customHeight="1">
      <c r="A123" s="70"/>
      <c r="B123" s="70"/>
      <c r="C123" s="70"/>
      <c r="D123" s="70"/>
      <c r="E123" s="70"/>
      <c r="F123" s="70"/>
      <c r="G123" s="70"/>
      <c r="H123" s="71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</row>
    <row r="124" spans="1:26" ht="12.75" customHeight="1">
      <c r="A124" s="70"/>
      <c r="B124" s="70"/>
      <c r="C124" s="70"/>
      <c r="D124" s="70"/>
      <c r="E124" s="70"/>
      <c r="F124" s="70"/>
      <c r="G124" s="70"/>
      <c r="H124" s="70"/>
      <c r="I124" s="70"/>
      <c r="J124" s="70"/>
      <c r="K124" s="71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</row>
    <row r="125" spans="1:26" ht="12.75" customHeight="1">
      <c r="A125" s="70"/>
      <c r="B125" s="70"/>
      <c r="C125" s="70"/>
      <c r="D125" s="70"/>
      <c r="E125" s="70"/>
      <c r="F125" s="70"/>
      <c r="G125" s="70"/>
      <c r="H125" s="70"/>
      <c r="I125" s="70"/>
      <c r="J125" s="70"/>
      <c r="K125" s="71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</row>
    <row r="126" spans="1:26" ht="12.75" customHeight="1">
      <c r="A126" s="70"/>
      <c r="B126" s="70"/>
      <c r="C126" s="70"/>
      <c r="D126" s="70"/>
      <c r="E126" s="70"/>
      <c r="F126" s="70"/>
      <c r="G126" s="70"/>
      <c r="H126" s="70"/>
      <c r="I126" s="70"/>
      <c r="J126" s="70"/>
      <c r="K126" s="71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</row>
    <row r="127" spans="1:26" ht="12.75" customHeight="1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1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</row>
    <row r="128" spans="1:26" ht="12.75" customHeight="1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1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</row>
    <row r="129" spans="1:26" ht="12.75" customHeight="1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1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</row>
    <row r="130" spans="1:26" ht="12.75" customHeight="1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1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</row>
    <row r="131" spans="1:26" ht="12.75" customHeight="1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1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</row>
    <row r="132" spans="1:26" ht="12.75" customHeight="1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1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</row>
    <row r="133" spans="1:26" ht="12.75" customHeight="1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1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</row>
    <row r="134" spans="1:26" ht="12.75" customHeight="1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1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</row>
    <row r="135" spans="1:26" ht="12.75" customHeight="1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1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</row>
    <row r="136" spans="1:26" ht="12.75" customHeight="1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1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</row>
    <row r="137" spans="1:26" ht="12.75" customHeight="1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1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</row>
    <row r="138" spans="1:26" ht="12.75" customHeight="1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1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</row>
    <row r="139" spans="1:26" ht="12.75" customHeight="1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1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</row>
    <row r="140" spans="1:26" ht="12.75" customHeight="1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1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</row>
    <row r="141" spans="1:26" ht="12.75" customHeight="1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1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</row>
    <row r="142" spans="1:26" ht="12.75" customHeight="1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1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</row>
    <row r="143" spans="1:26" ht="12.75" customHeight="1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1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</row>
    <row r="144" spans="1:26" ht="12.75" customHeight="1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1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</row>
    <row r="145" spans="1:26" ht="12.75" customHeight="1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1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</row>
    <row r="146" spans="1:26" ht="12.75" customHeight="1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1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</row>
    <row r="147" spans="1:26" ht="12.75" customHeight="1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1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</row>
    <row r="148" spans="1:26" ht="12.75" customHeight="1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1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</row>
    <row r="149" spans="1:26" ht="12.75" customHeight="1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1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</row>
    <row r="150" spans="1:26" ht="12.75" customHeight="1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1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</row>
    <row r="151" spans="1:26" ht="12.75" customHeight="1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1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</row>
    <row r="152" spans="1:26" ht="12.75" customHeight="1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1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</row>
    <row r="153" spans="1:26" ht="12.75" customHeight="1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1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</row>
    <row r="154" spans="1:26" ht="12.75" customHeight="1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1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</row>
    <row r="155" spans="1:26" ht="12.75" customHeight="1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1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</row>
    <row r="156" spans="1:26" ht="12.75" customHeight="1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1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</row>
    <row r="157" spans="1:26" ht="12.75" customHeight="1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1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</row>
    <row r="158" spans="1:26" ht="12.75" customHeight="1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1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</row>
    <row r="159" spans="1:26" ht="12.75" customHeight="1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1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</row>
    <row r="160" spans="1:26" ht="12.75" customHeight="1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1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</row>
    <row r="161" spans="1:26" ht="12.75" customHeight="1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1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</row>
    <row r="162" spans="1:26" ht="12.75" customHeight="1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1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</row>
    <row r="163" spans="1:26" ht="12.75" customHeight="1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1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</row>
    <row r="164" spans="1:26" ht="12.75" customHeight="1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1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</row>
    <row r="165" spans="1:26" ht="12.75" customHeight="1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1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</row>
    <row r="166" spans="1:26" ht="12.75" customHeight="1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1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</row>
    <row r="167" spans="1:26" ht="12.75" customHeight="1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1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</row>
    <row r="168" spans="1:26" ht="12.75" customHeight="1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1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</row>
    <row r="169" spans="1:26" ht="12.75" customHeight="1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1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</row>
    <row r="170" spans="1:26" ht="12.75" customHeight="1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1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</row>
    <row r="171" spans="1:26" ht="12.75" customHeight="1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1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</row>
    <row r="172" spans="1:26" ht="12.75" customHeight="1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1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</row>
    <row r="173" spans="1:26" ht="12.75" customHeight="1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1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</row>
    <row r="174" spans="1:26" ht="12.75" customHeight="1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1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</row>
    <row r="175" spans="1:26" ht="12.75" customHeight="1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1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</row>
    <row r="176" spans="1:26" ht="12.75" customHeight="1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1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</row>
    <row r="177" spans="1:26" ht="12.75" customHeight="1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1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</row>
    <row r="178" spans="1:26" ht="12.75" customHeight="1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1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</row>
    <row r="179" spans="1:26" ht="12.75" customHeight="1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1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</row>
    <row r="180" spans="1:26" ht="12.75" customHeight="1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1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</row>
    <row r="181" spans="1:26" ht="12.75" customHeight="1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1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</row>
    <row r="182" spans="1:26" ht="12.75" customHeight="1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1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</row>
    <row r="183" spans="1:26" ht="12.75" customHeight="1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1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</row>
    <row r="184" spans="1:26" ht="12.75" customHeight="1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1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</row>
    <row r="185" spans="1:26" ht="12.75" customHeight="1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1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</row>
    <row r="186" spans="1:26" ht="12.75" customHeight="1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1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</row>
    <row r="187" spans="1:26" ht="12.75" customHeight="1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1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</row>
    <row r="188" spans="1:26" ht="12.75" customHeight="1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1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</row>
    <row r="189" spans="1:26" ht="12.75" customHeight="1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1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</row>
    <row r="190" spans="1:26" ht="12.75" customHeight="1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1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</row>
    <row r="191" spans="1:26" ht="12.75" customHeight="1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1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</row>
    <row r="192" spans="1:26" ht="12.75" customHeight="1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1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</row>
    <row r="193" spans="1:26" ht="12.75" customHeight="1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1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</row>
    <row r="194" spans="1:26" ht="12.75" customHeight="1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1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</row>
    <row r="195" spans="1:26" ht="12.75" customHeight="1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1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</row>
    <row r="196" spans="1:26" ht="12.75" customHeight="1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1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</row>
    <row r="197" spans="1:26" ht="12.75" customHeight="1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1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</row>
    <row r="198" spans="1:26" ht="12.75" customHeight="1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1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</row>
    <row r="199" spans="1:26" ht="12.75" customHeight="1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1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</row>
    <row r="200" spans="1:26" ht="12.75" customHeight="1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1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</row>
    <row r="201" spans="1:26" ht="12.75" customHeight="1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1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</row>
    <row r="202" spans="1:26" ht="12.75" customHeight="1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1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</row>
    <row r="203" spans="1:26" ht="12.75" customHeight="1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1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</row>
    <row r="204" spans="1:26" ht="12.75" customHeight="1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1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</row>
    <row r="205" spans="1:26" ht="12.75" customHeight="1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1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</row>
    <row r="206" spans="1:26" ht="12.75" customHeight="1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1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</row>
    <row r="207" spans="1:26" ht="12.75" customHeight="1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1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</row>
    <row r="208" spans="1:26" ht="12.75" customHeight="1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1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</row>
    <row r="209" spans="1:26" ht="12.75" customHeight="1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1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</row>
    <row r="210" spans="1:26" ht="12.75" customHeight="1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1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</row>
    <row r="211" spans="1:26" ht="12.75" customHeight="1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1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</row>
    <row r="212" spans="1:26" ht="12.75" customHeight="1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1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</row>
    <row r="213" spans="1:26" ht="12.75" customHeight="1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1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</row>
    <row r="214" spans="1:26" ht="12.75" customHeight="1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1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</row>
    <row r="215" spans="1:26" ht="12.75" customHeight="1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1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</row>
    <row r="216" spans="1:26" ht="12.75" customHeight="1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1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</row>
    <row r="217" spans="1:26" ht="12.75" customHeight="1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1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</row>
    <row r="218" spans="1:26" ht="12.75" customHeight="1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1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</row>
    <row r="219" spans="1:26" ht="12.75" customHeight="1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1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</row>
    <row r="220" spans="1:26" ht="12.75" customHeight="1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1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</row>
    <row r="221" spans="1:26" ht="12.75" customHeight="1">
      <c r="A221" s="70"/>
      <c r="B221" s="70"/>
      <c r="C221" s="70"/>
      <c r="D221" s="70"/>
      <c r="E221" s="70"/>
      <c r="F221" s="70"/>
      <c r="G221" s="70"/>
      <c r="H221" s="70"/>
      <c r="I221" s="70"/>
      <c r="J221" s="70"/>
      <c r="K221" s="71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</row>
    <row r="222" spans="1:26" ht="12.75" customHeight="1">
      <c r="A222" s="70"/>
      <c r="B222" s="70"/>
      <c r="C222" s="70"/>
      <c r="D222" s="70"/>
      <c r="E222" s="70"/>
      <c r="F222" s="70"/>
      <c r="G222" s="70"/>
      <c r="H222" s="70"/>
      <c r="I222" s="70"/>
      <c r="J222" s="70"/>
      <c r="K222" s="71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</row>
    <row r="223" spans="1:26" ht="12.75" customHeight="1">
      <c r="A223" s="70"/>
      <c r="B223" s="70"/>
      <c r="C223" s="70"/>
      <c r="D223" s="70"/>
      <c r="E223" s="70"/>
      <c r="F223" s="70"/>
      <c r="G223" s="70"/>
      <c r="H223" s="70"/>
      <c r="I223" s="70"/>
      <c r="J223" s="70"/>
      <c r="K223" s="71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</row>
    <row r="224" spans="1:26" ht="12.75" customHeight="1">
      <c r="A224" s="70"/>
      <c r="B224" s="70"/>
      <c r="C224" s="70"/>
      <c r="D224" s="70"/>
      <c r="E224" s="70"/>
      <c r="F224" s="70"/>
      <c r="G224" s="70"/>
      <c r="H224" s="70"/>
      <c r="I224" s="70"/>
      <c r="J224" s="70"/>
      <c r="K224" s="71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</row>
    <row r="225" spans="1:26" ht="12.75" customHeight="1">
      <c r="A225" s="70"/>
      <c r="B225" s="70"/>
      <c r="C225" s="70"/>
      <c r="D225" s="70"/>
      <c r="E225" s="70"/>
      <c r="F225" s="70"/>
      <c r="G225" s="70"/>
      <c r="H225" s="70"/>
      <c r="I225" s="70"/>
      <c r="J225" s="70"/>
      <c r="K225" s="71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</row>
    <row r="226" spans="1:26" ht="12.75" customHeight="1">
      <c r="A226" s="70"/>
      <c r="B226" s="70"/>
      <c r="C226" s="70"/>
      <c r="D226" s="70"/>
      <c r="E226" s="70"/>
      <c r="F226" s="70"/>
      <c r="G226" s="70"/>
      <c r="H226" s="70"/>
      <c r="I226" s="70"/>
      <c r="J226" s="70"/>
      <c r="K226" s="71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</row>
    <row r="227" spans="1:26" ht="12.75" customHeight="1">
      <c r="A227" s="70"/>
      <c r="B227" s="70"/>
      <c r="C227" s="70"/>
      <c r="D227" s="70"/>
      <c r="E227" s="70"/>
      <c r="F227" s="70"/>
      <c r="G227" s="70"/>
      <c r="H227" s="70"/>
      <c r="I227" s="70"/>
      <c r="J227" s="70"/>
      <c r="K227" s="71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</row>
    <row r="228" spans="1:26" ht="12.75" customHeight="1">
      <c r="A228" s="70"/>
      <c r="B228" s="70"/>
      <c r="C228" s="70"/>
      <c r="D228" s="70"/>
      <c r="E228" s="70"/>
      <c r="F228" s="70"/>
      <c r="G228" s="70"/>
      <c r="H228" s="70"/>
      <c r="I228" s="70"/>
      <c r="J228" s="70"/>
      <c r="K228" s="71"/>
      <c r="L228" s="70"/>
      <c r="M228" s="70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</row>
    <row r="229" spans="1:26" ht="12.75" customHeight="1">
      <c r="A229" s="70"/>
      <c r="B229" s="70"/>
      <c r="C229" s="70"/>
      <c r="D229" s="70"/>
      <c r="E229" s="70"/>
      <c r="F229" s="70"/>
      <c r="G229" s="70"/>
      <c r="H229" s="70"/>
      <c r="I229" s="70"/>
      <c r="J229" s="70"/>
      <c r="K229" s="71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</row>
    <row r="230" spans="1:26" ht="12.75" customHeight="1">
      <c r="A230" s="70"/>
      <c r="B230" s="70"/>
      <c r="C230" s="70"/>
      <c r="D230" s="70"/>
      <c r="E230" s="70"/>
      <c r="F230" s="70"/>
      <c r="G230" s="70"/>
      <c r="H230" s="70"/>
      <c r="I230" s="70"/>
      <c r="J230" s="70"/>
      <c r="K230" s="71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</row>
    <row r="231" spans="1:26" ht="12.75" customHeight="1">
      <c r="A231" s="70"/>
      <c r="B231" s="70"/>
      <c r="C231" s="70"/>
      <c r="D231" s="70"/>
      <c r="E231" s="70"/>
      <c r="F231" s="70"/>
      <c r="G231" s="70"/>
      <c r="H231" s="70"/>
      <c r="I231" s="70"/>
      <c r="J231" s="70"/>
      <c r="K231" s="71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</row>
    <row r="232" spans="1:26" ht="12.75" customHeight="1">
      <c r="A232" s="70"/>
      <c r="B232" s="70"/>
      <c r="C232" s="70"/>
      <c r="D232" s="70"/>
      <c r="E232" s="70"/>
      <c r="F232" s="70"/>
      <c r="G232" s="70"/>
      <c r="H232" s="70"/>
      <c r="I232" s="70"/>
      <c r="J232" s="70"/>
      <c r="K232" s="71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</row>
    <row r="233" spans="1:26" ht="12.75" customHeight="1">
      <c r="A233" s="70"/>
      <c r="B233" s="70"/>
      <c r="C233" s="70"/>
      <c r="D233" s="70"/>
      <c r="E233" s="70"/>
      <c r="F233" s="70"/>
      <c r="G233" s="70"/>
      <c r="H233" s="70"/>
      <c r="I233" s="70"/>
      <c r="J233" s="70"/>
      <c r="K233" s="71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</row>
    <row r="234" spans="1:26" ht="12.75" customHeight="1">
      <c r="A234" s="70"/>
      <c r="B234" s="70"/>
      <c r="C234" s="70"/>
      <c r="D234" s="70"/>
      <c r="E234" s="70"/>
      <c r="F234" s="70"/>
      <c r="G234" s="70"/>
      <c r="H234" s="70"/>
      <c r="I234" s="70"/>
      <c r="J234" s="70"/>
      <c r="K234" s="71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</row>
    <row r="235" spans="1:26" ht="12.75" customHeight="1">
      <c r="A235" s="70"/>
      <c r="B235" s="70"/>
      <c r="C235" s="70"/>
      <c r="D235" s="70"/>
      <c r="E235" s="70"/>
      <c r="F235" s="70"/>
      <c r="G235" s="70"/>
      <c r="H235" s="70"/>
      <c r="I235" s="70"/>
      <c r="J235" s="70"/>
      <c r="K235" s="71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</row>
    <row r="236" spans="1:26" ht="12.75" customHeight="1">
      <c r="A236" s="70"/>
      <c r="B236" s="70"/>
      <c r="C236" s="70"/>
      <c r="D236" s="70"/>
      <c r="E236" s="70"/>
      <c r="F236" s="70"/>
      <c r="G236" s="70"/>
      <c r="H236" s="70"/>
      <c r="I236" s="70"/>
      <c r="J236" s="70"/>
      <c r="K236" s="71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</row>
    <row r="237" spans="1:26" ht="12.75" customHeight="1">
      <c r="A237" s="70"/>
      <c r="B237" s="70"/>
      <c r="C237" s="70"/>
      <c r="D237" s="70"/>
      <c r="E237" s="70"/>
      <c r="F237" s="70"/>
      <c r="G237" s="70"/>
      <c r="H237" s="70"/>
      <c r="I237" s="70"/>
      <c r="J237" s="70"/>
      <c r="K237" s="71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</row>
    <row r="238" spans="1:26" ht="12.75" customHeight="1">
      <c r="A238" s="70"/>
      <c r="B238" s="70"/>
      <c r="C238" s="70"/>
      <c r="D238" s="70"/>
      <c r="E238" s="70"/>
      <c r="F238" s="70"/>
      <c r="G238" s="70"/>
      <c r="H238" s="70"/>
      <c r="I238" s="70"/>
      <c r="J238" s="70"/>
      <c r="K238" s="71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</row>
    <row r="239" spans="1:26" ht="12.75" customHeight="1">
      <c r="A239" s="70"/>
      <c r="B239" s="70"/>
      <c r="C239" s="70"/>
      <c r="D239" s="70"/>
      <c r="E239" s="70"/>
      <c r="F239" s="70"/>
      <c r="G239" s="70"/>
      <c r="H239" s="70"/>
      <c r="I239" s="70"/>
      <c r="J239" s="70"/>
      <c r="K239" s="71"/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</row>
    <row r="240" spans="1:26" ht="12.75" customHeight="1">
      <c r="A240" s="70"/>
      <c r="B240" s="70"/>
      <c r="C240" s="70"/>
      <c r="D240" s="70"/>
      <c r="E240" s="70"/>
      <c r="F240" s="70"/>
      <c r="G240" s="70"/>
      <c r="H240" s="70"/>
      <c r="I240" s="70"/>
      <c r="J240" s="70"/>
      <c r="K240" s="71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</row>
    <row r="241" spans="1:26" ht="12.75" customHeight="1">
      <c r="A241" s="70"/>
      <c r="B241" s="70"/>
      <c r="C241" s="70"/>
      <c r="D241" s="70"/>
      <c r="E241" s="70"/>
      <c r="F241" s="70"/>
      <c r="G241" s="70"/>
      <c r="H241" s="70"/>
      <c r="I241" s="70"/>
      <c r="J241" s="70"/>
      <c r="K241" s="71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</row>
    <row r="242" spans="1:26" ht="12.75" customHeight="1">
      <c r="A242" s="70"/>
      <c r="B242" s="70"/>
      <c r="C242" s="70"/>
      <c r="D242" s="70"/>
      <c r="E242" s="70"/>
      <c r="F242" s="70"/>
      <c r="G242" s="70"/>
      <c r="H242" s="70"/>
      <c r="I242" s="70"/>
      <c r="J242" s="70"/>
      <c r="K242" s="71"/>
      <c r="L242" s="70"/>
      <c r="M242" s="70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</row>
    <row r="243" spans="1:26" ht="12.75" customHeight="1">
      <c r="A243" s="70"/>
      <c r="B243" s="70"/>
      <c r="C243" s="70"/>
      <c r="D243" s="70"/>
      <c r="E243" s="70"/>
      <c r="F243" s="70"/>
      <c r="G243" s="70"/>
      <c r="H243" s="70"/>
      <c r="I243" s="70"/>
      <c r="J243" s="70"/>
      <c r="K243" s="71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</row>
    <row r="244" spans="1:26" ht="12.75" customHeight="1">
      <c r="A244" s="70"/>
      <c r="B244" s="70"/>
      <c r="C244" s="70"/>
      <c r="D244" s="70"/>
      <c r="E244" s="70"/>
      <c r="F244" s="70"/>
      <c r="G244" s="70"/>
      <c r="H244" s="70"/>
      <c r="I244" s="70"/>
      <c r="J244" s="70"/>
      <c r="K244" s="71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</row>
    <row r="245" spans="1:26" ht="12.75" customHeight="1">
      <c r="A245" s="70"/>
      <c r="B245" s="70"/>
      <c r="C245" s="70"/>
      <c r="D245" s="70"/>
      <c r="E245" s="70"/>
      <c r="F245" s="70"/>
      <c r="G245" s="70"/>
      <c r="H245" s="70"/>
      <c r="I245" s="70"/>
      <c r="J245" s="70"/>
      <c r="K245" s="71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</row>
    <row r="246" spans="1:26" ht="12.75" customHeight="1">
      <c r="A246" s="70"/>
      <c r="B246" s="70"/>
      <c r="C246" s="70"/>
      <c r="D246" s="70"/>
      <c r="E246" s="70"/>
      <c r="F246" s="70"/>
      <c r="G246" s="70"/>
      <c r="H246" s="70"/>
      <c r="I246" s="70"/>
      <c r="J246" s="70"/>
      <c r="K246" s="71"/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</row>
    <row r="247" spans="1:26" ht="12.75" customHeight="1">
      <c r="A247" s="70"/>
      <c r="B247" s="70"/>
      <c r="C247" s="70"/>
      <c r="D247" s="70"/>
      <c r="E247" s="70"/>
      <c r="F247" s="70"/>
      <c r="G247" s="70"/>
      <c r="H247" s="70"/>
      <c r="I247" s="70"/>
      <c r="J247" s="70"/>
      <c r="K247" s="71"/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</row>
    <row r="248" spans="1:26" ht="12.75" customHeight="1">
      <c r="A248" s="70"/>
      <c r="B248" s="70"/>
      <c r="C248" s="70"/>
      <c r="D248" s="70"/>
      <c r="E248" s="70"/>
      <c r="F248" s="70"/>
      <c r="G248" s="70"/>
      <c r="H248" s="70"/>
      <c r="I248" s="70"/>
      <c r="J248" s="70"/>
      <c r="K248" s="71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/>
      <c r="Y248" s="70"/>
      <c r="Z248" s="70"/>
    </row>
    <row r="249" spans="1:26" ht="12.75" customHeight="1">
      <c r="A249" s="70"/>
      <c r="B249" s="70"/>
      <c r="C249" s="70"/>
      <c r="D249" s="70"/>
      <c r="E249" s="70"/>
      <c r="F249" s="70"/>
      <c r="G249" s="70"/>
      <c r="H249" s="70"/>
      <c r="I249" s="70"/>
      <c r="J249" s="70"/>
      <c r="K249" s="71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</row>
    <row r="250" spans="1:26" ht="12.75" customHeight="1">
      <c r="A250" s="70"/>
      <c r="B250" s="70"/>
      <c r="C250" s="70"/>
      <c r="D250" s="70"/>
      <c r="E250" s="70"/>
      <c r="F250" s="70"/>
      <c r="G250" s="70"/>
      <c r="H250" s="70"/>
      <c r="I250" s="70"/>
      <c r="J250" s="70"/>
      <c r="K250" s="71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</row>
    <row r="251" spans="1:26" ht="12.75" customHeight="1">
      <c r="A251" s="70"/>
      <c r="B251" s="70"/>
      <c r="C251" s="70"/>
      <c r="D251" s="70"/>
      <c r="E251" s="70"/>
      <c r="F251" s="70"/>
      <c r="G251" s="70"/>
      <c r="H251" s="70"/>
      <c r="I251" s="70"/>
      <c r="J251" s="70"/>
      <c r="K251" s="71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</row>
    <row r="252" spans="1:26" ht="12.75" customHeight="1">
      <c r="A252" s="70"/>
      <c r="B252" s="70"/>
      <c r="C252" s="70"/>
      <c r="D252" s="70"/>
      <c r="E252" s="70"/>
      <c r="F252" s="70"/>
      <c r="G252" s="70"/>
      <c r="H252" s="70"/>
      <c r="I252" s="70"/>
      <c r="J252" s="70"/>
      <c r="K252" s="71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</row>
    <row r="253" spans="1:26" ht="12.75" customHeight="1">
      <c r="A253" s="70"/>
      <c r="B253" s="70"/>
      <c r="C253" s="70"/>
      <c r="D253" s="70"/>
      <c r="E253" s="70"/>
      <c r="F253" s="70"/>
      <c r="G253" s="70"/>
      <c r="H253" s="70"/>
      <c r="I253" s="70"/>
      <c r="J253" s="70"/>
      <c r="K253" s="71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</row>
    <row r="254" spans="1:26" ht="12.75" customHeight="1">
      <c r="A254" s="70"/>
      <c r="B254" s="70"/>
      <c r="C254" s="70"/>
      <c r="D254" s="70"/>
      <c r="E254" s="70"/>
      <c r="F254" s="70"/>
      <c r="G254" s="70"/>
      <c r="H254" s="70"/>
      <c r="I254" s="70"/>
      <c r="J254" s="70"/>
      <c r="K254" s="71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</row>
    <row r="255" spans="1:26" ht="12.75" customHeight="1">
      <c r="A255" s="70"/>
      <c r="B255" s="70"/>
      <c r="C255" s="70"/>
      <c r="D255" s="70"/>
      <c r="E255" s="70"/>
      <c r="F255" s="70"/>
      <c r="G255" s="70"/>
      <c r="H255" s="70"/>
      <c r="I255" s="70"/>
      <c r="J255" s="70"/>
      <c r="K255" s="71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</row>
    <row r="256" spans="1:26" ht="12.75" customHeight="1">
      <c r="A256" s="70"/>
      <c r="B256" s="70"/>
      <c r="C256" s="70"/>
      <c r="D256" s="70"/>
      <c r="E256" s="70"/>
      <c r="F256" s="70"/>
      <c r="G256" s="70"/>
      <c r="H256" s="70"/>
      <c r="I256" s="70"/>
      <c r="J256" s="70"/>
      <c r="K256" s="71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</row>
    <row r="257" spans="1:26" ht="12.75" customHeight="1">
      <c r="A257" s="70"/>
      <c r="B257" s="70"/>
      <c r="C257" s="70"/>
      <c r="D257" s="70"/>
      <c r="E257" s="70"/>
      <c r="F257" s="70"/>
      <c r="G257" s="70"/>
      <c r="H257" s="70"/>
      <c r="I257" s="70"/>
      <c r="J257" s="70"/>
      <c r="K257" s="71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</row>
    <row r="258" spans="1:26" ht="12.75" customHeight="1">
      <c r="A258" s="70"/>
      <c r="B258" s="70"/>
      <c r="C258" s="70"/>
      <c r="D258" s="70"/>
      <c r="E258" s="70"/>
      <c r="F258" s="70"/>
      <c r="G258" s="70"/>
      <c r="H258" s="70"/>
      <c r="I258" s="70"/>
      <c r="J258" s="70"/>
      <c r="K258" s="71"/>
      <c r="L258" s="70"/>
      <c r="M258" s="70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</row>
    <row r="259" spans="1:26" ht="12.75" customHeight="1">
      <c r="A259" s="70"/>
      <c r="B259" s="70"/>
      <c r="C259" s="70"/>
      <c r="D259" s="70"/>
      <c r="E259" s="70"/>
      <c r="F259" s="70"/>
      <c r="G259" s="70"/>
      <c r="H259" s="70"/>
      <c r="I259" s="70"/>
      <c r="J259" s="70"/>
      <c r="K259" s="71"/>
      <c r="L259" s="70"/>
      <c r="M259" s="70"/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/>
      <c r="Y259" s="70"/>
      <c r="Z259" s="70"/>
    </row>
    <row r="260" spans="1:26" ht="12.75" customHeight="1">
      <c r="A260" s="70"/>
      <c r="B260" s="70"/>
      <c r="C260" s="70"/>
      <c r="D260" s="70"/>
      <c r="E260" s="70"/>
      <c r="F260" s="70"/>
      <c r="G260" s="70"/>
      <c r="H260" s="70"/>
      <c r="I260" s="70"/>
      <c r="J260" s="70"/>
      <c r="K260" s="71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</row>
    <row r="261" spans="1:26" ht="12.75" customHeight="1">
      <c r="A261" s="70"/>
      <c r="B261" s="70"/>
      <c r="C261" s="70"/>
      <c r="D261" s="70"/>
      <c r="E261" s="70"/>
      <c r="F261" s="70"/>
      <c r="G261" s="70"/>
      <c r="H261" s="70"/>
      <c r="I261" s="70"/>
      <c r="J261" s="70"/>
      <c r="K261" s="71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</row>
    <row r="262" spans="1:26" ht="12.75" customHeight="1">
      <c r="A262" s="70"/>
      <c r="B262" s="70"/>
      <c r="C262" s="70"/>
      <c r="D262" s="70"/>
      <c r="E262" s="70"/>
      <c r="F262" s="70"/>
      <c r="G262" s="70"/>
      <c r="H262" s="70"/>
      <c r="I262" s="70"/>
      <c r="J262" s="70"/>
      <c r="K262" s="71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</row>
    <row r="263" spans="1:26" ht="12.75" customHeight="1">
      <c r="A263" s="70"/>
      <c r="B263" s="70"/>
      <c r="C263" s="70"/>
      <c r="D263" s="70"/>
      <c r="E263" s="70"/>
      <c r="F263" s="70"/>
      <c r="G263" s="70"/>
      <c r="H263" s="70"/>
      <c r="I263" s="70"/>
      <c r="J263" s="70"/>
      <c r="K263" s="71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</row>
    <row r="264" spans="1:26" ht="12.75" customHeight="1">
      <c r="A264" s="70"/>
      <c r="B264" s="70"/>
      <c r="C264" s="70"/>
      <c r="D264" s="70"/>
      <c r="E264" s="70"/>
      <c r="F264" s="70"/>
      <c r="G264" s="70"/>
      <c r="H264" s="70"/>
      <c r="I264" s="70"/>
      <c r="J264" s="70"/>
      <c r="K264" s="71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</row>
    <row r="265" spans="1:26" ht="12.75" customHeight="1">
      <c r="A265" s="70"/>
      <c r="B265" s="70"/>
      <c r="C265" s="70"/>
      <c r="D265" s="70"/>
      <c r="E265" s="70"/>
      <c r="F265" s="70"/>
      <c r="G265" s="70"/>
      <c r="H265" s="70"/>
      <c r="I265" s="70"/>
      <c r="J265" s="70"/>
      <c r="K265" s="71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</row>
    <row r="266" spans="1:26" ht="12.75" customHeight="1">
      <c r="A266" s="70"/>
      <c r="B266" s="70"/>
      <c r="C266" s="70"/>
      <c r="D266" s="70"/>
      <c r="E266" s="70"/>
      <c r="F266" s="70"/>
      <c r="G266" s="70"/>
      <c r="H266" s="70"/>
      <c r="I266" s="70"/>
      <c r="J266" s="70"/>
      <c r="K266" s="71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</row>
    <row r="267" spans="1:26" ht="12.75" customHeight="1">
      <c r="A267" s="70"/>
      <c r="B267" s="70"/>
      <c r="C267" s="70"/>
      <c r="D267" s="70"/>
      <c r="E267" s="70"/>
      <c r="F267" s="70"/>
      <c r="G267" s="70"/>
      <c r="H267" s="70"/>
      <c r="I267" s="70"/>
      <c r="J267" s="70"/>
      <c r="K267" s="71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</row>
    <row r="268" spans="1:26" ht="12.75" customHeight="1">
      <c r="A268" s="70"/>
      <c r="B268" s="70"/>
      <c r="C268" s="70"/>
      <c r="D268" s="70"/>
      <c r="E268" s="70"/>
      <c r="F268" s="70"/>
      <c r="G268" s="70"/>
      <c r="H268" s="70"/>
      <c r="I268" s="70"/>
      <c r="J268" s="70"/>
      <c r="K268" s="71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</row>
    <row r="269" spans="1:26" ht="12.75" customHeight="1">
      <c r="A269" s="70"/>
      <c r="B269" s="70"/>
      <c r="C269" s="70"/>
      <c r="D269" s="70"/>
      <c r="E269" s="70"/>
      <c r="F269" s="70"/>
      <c r="G269" s="70"/>
      <c r="H269" s="70"/>
      <c r="I269" s="70"/>
      <c r="J269" s="70"/>
      <c r="K269" s="71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</row>
    <row r="270" spans="1:26" ht="12.75" customHeight="1">
      <c r="A270" s="70"/>
      <c r="B270" s="70"/>
      <c r="C270" s="70"/>
      <c r="D270" s="70"/>
      <c r="E270" s="70"/>
      <c r="F270" s="70"/>
      <c r="G270" s="70"/>
      <c r="H270" s="70"/>
      <c r="I270" s="70"/>
      <c r="J270" s="70"/>
      <c r="K270" s="71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/>
      <c r="Y270" s="70"/>
      <c r="Z270" s="70"/>
    </row>
    <row r="271" spans="1:26" ht="12.75" customHeight="1">
      <c r="A271" s="70"/>
      <c r="B271" s="70"/>
      <c r="C271" s="70"/>
      <c r="D271" s="70"/>
      <c r="E271" s="70"/>
      <c r="F271" s="70"/>
      <c r="G271" s="70"/>
      <c r="H271" s="70"/>
      <c r="I271" s="70"/>
      <c r="J271" s="70"/>
      <c r="K271" s="71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</row>
    <row r="272" spans="1:26" ht="12.75" customHeight="1">
      <c r="A272" s="70"/>
      <c r="B272" s="70"/>
      <c r="C272" s="70"/>
      <c r="D272" s="70"/>
      <c r="E272" s="70"/>
      <c r="F272" s="70"/>
      <c r="G272" s="70"/>
      <c r="H272" s="70"/>
      <c r="I272" s="70"/>
      <c r="J272" s="70"/>
      <c r="K272" s="71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</row>
    <row r="273" spans="1:26" ht="12.75" customHeight="1">
      <c r="A273" s="70"/>
      <c r="B273" s="70"/>
      <c r="C273" s="70"/>
      <c r="D273" s="70"/>
      <c r="E273" s="70"/>
      <c r="F273" s="70"/>
      <c r="G273" s="70"/>
      <c r="H273" s="70"/>
      <c r="I273" s="70"/>
      <c r="J273" s="70"/>
      <c r="K273" s="71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</row>
    <row r="274" spans="1:26" ht="12.75" customHeight="1">
      <c r="A274" s="70"/>
      <c r="B274" s="70"/>
      <c r="C274" s="70"/>
      <c r="D274" s="70"/>
      <c r="E274" s="70"/>
      <c r="F274" s="70"/>
      <c r="G274" s="70"/>
      <c r="H274" s="70"/>
      <c r="I274" s="70"/>
      <c r="J274" s="70"/>
      <c r="K274" s="71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</row>
    <row r="275" spans="1:26" ht="12.75" customHeight="1">
      <c r="A275" s="70"/>
      <c r="B275" s="70"/>
      <c r="C275" s="70"/>
      <c r="D275" s="70"/>
      <c r="E275" s="70"/>
      <c r="F275" s="70"/>
      <c r="G275" s="70"/>
      <c r="H275" s="70"/>
      <c r="I275" s="70"/>
      <c r="J275" s="70"/>
      <c r="K275" s="71"/>
      <c r="L275" s="70"/>
      <c r="M275" s="70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</row>
    <row r="276" spans="1:26" ht="12.75" customHeight="1">
      <c r="A276" s="70"/>
      <c r="B276" s="70"/>
      <c r="C276" s="70"/>
      <c r="D276" s="70"/>
      <c r="E276" s="70"/>
      <c r="F276" s="70"/>
      <c r="G276" s="70"/>
      <c r="H276" s="70"/>
      <c r="I276" s="70"/>
      <c r="J276" s="70"/>
      <c r="K276" s="71"/>
      <c r="L276" s="70"/>
      <c r="M276" s="70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/>
      <c r="Y276" s="70"/>
      <c r="Z276" s="70"/>
    </row>
    <row r="277" spans="1:26" ht="12.75" customHeight="1">
      <c r="A277" s="70"/>
      <c r="B277" s="70"/>
      <c r="C277" s="70"/>
      <c r="D277" s="70"/>
      <c r="E277" s="70"/>
      <c r="F277" s="70"/>
      <c r="G277" s="70"/>
      <c r="H277" s="70"/>
      <c r="I277" s="70"/>
      <c r="J277" s="70"/>
      <c r="K277" s="71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</row>
    <row r="278" spans="1:26" ht="12.75" customHeight="1">
      <c r="A278" s="70"/>
      <c r="B278" s="70"/>
      <c r="C278" s="70"/>
      <c r="D278" s="70"/>
      <c r="E278" s="70"/>
      <c r="F278" s="70"/>
      <c r="G278" s="70"/>
      <c r="H278" s="70"/>
      <c r="I278" s="70"/>
      <c r="J278" s="70"/>
      <c r="K278" s="71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</row>
    <row r="279" spans="1:26" ht="12.75" customHeight="1">
      <c r="A279" s="70"/>
      <c r="B279" s="70"/>
      <c r="C279" s="70"/>
      <c r="D279" s="70"/>
      <c r="E279" s="70"/>
      <c r="F279" s="70"/>
      <c r="G279" s="70"/>
      <c r="H279" s="70"/>
      <c r="I279" s="70"/>
      <c r="J279" s="70"/>
      <c r="K279" s="71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</row>
    <row r="280" spans="1:26" ht="12.75" customHeight="1">
      <c r="A280" s="70"/>
      <c r="B280" s="70"/>
      <c r="C280" s="70"/>
      <c r="D280" s="70"/>
      <c r="E280" s="70"/>
      <c r="F280" s="70"/>
      <c r="G280" s="70"/>
      <c r="H280" s="70"/>
      <c r="I280" s="70"/>
      <c r="J280" s="70"/>
      <c r="K280" s="71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</row>
    <row r="281" spans="1:26" ht="12.75" customHeight="1">
      <c r="A281" s="70"/>
      <c r="B281" s="70"/>
      <c r="C281" s="70"/>
      <c r="D281" s="70"/>
      <c r="E281" s="70"/>
      <c r="F281" s="70"/>
      <c r="G281" s="70"/>
      <c r="H281" s="70"/>
      <c r="I281" s="70"/>
      <c r="J281" s="70"/>
      <c r="K281" s="71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</row>
    <row r="282" spans="1:26" ht="12.75" customHeight="1">
      <c r="A282" s="70"/>
      <c r="B282" s="70"/>
      <c r="C282" s="70"/>
      <c r="D282" s="70"/>
      <c r="E282" s="70"/>
      <c r="F282" s="70"/>
      <c r="G282" s="70"/>
      <c r="H282" s="70"/>
      <c r="I282" s="70"/>
      <c r="J282" s="70"/>
      <c r="K282" s="71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</row>
    <row r="283" spans="1:26" ht="12.75" customHeight="1">
      <c r="A283" s="70"/>
      <c r="B283" s="70"/>
      <c r="C283" s="70"/>
      <c r="D283" s="70"/>
      <c r="E283" s="70"/>
      <c r="F283" s="70"/>
      <c r="G283" s="70"/>
      <c r="H283" s="70"/>
      <c r="I283" s="70"/>
      <c r="J283" s="70"/>
      <c r="K283" s="71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</row>
    <row r="284" spans="1:26" ht="12.75" customHeight="1">
      <c r="A284" s="70"/>
      <c r="B284" s="70"/>
      <c r="C284" s="70"/>
      <c r="D284" s="70"/>
      <c r="E284" s="70"/>
      <c r="F284" s="70"/>
      <c r="G284" s="70"/>
      <c r="H284" s="70"/>
      <c r="I284" s="70"/>
      <c r="J284" s="70"/>
      <c r="K284" s="71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</row>
    <row r="285" spans="1:26" ht="12.75" customHeight="1">
      <c r="A285" s="70"/>
      <c r="B285" s="70"/>
      <c r="C285" s="70"/>
      <c r="D285" s="70"/>
      <c r="E285" s="70"/>
      <c r="F285" s="70"/>
      <c r="G285" s="70"/>
      <c r="H285" s="70"/>
      <c r="I285" s="70"/>
      <c r="J285" s="70"/>
      <c r="K285" s="71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</row>
    <row r="286" spans="1:26" ht="12.75" customHeight="1">
      <c r="A286" s="70"/>
      <c r="B286" s="70"/>
      <c r="C286" s="70"/>
      <c r="D286" s="70"/>
      <c r="E286" s="70"/>
      <c r="F286" s="70"/>
      <c r="G286" s="70"/>
      <c r="H286" s="70"/>
      <c r="I286" s="70"/>
      <c r="J286" s="70"/>
      <c r="K286" s="71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</row>
    <row r="287" spans="1:26" ht="12.75" customHeight="1">
      <c r="A287" s="70"/>
      <c r="B287" s="70"/>
      <c r="C287" s="70"/>
      <c r="D287" s="70"/>
      <c r="E287" s="70"/>
      <c r="F287" s="70"/>
      <c r="G287" s="70"/>
      <c r="H287" s="70"/>
      <c r="I287" s="70"/>
      <c r="J287" s="70"/>
      <c r="K287" s="71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</row>
    <row r="288" spans="1:26" ht="12.75" customHeight="1">
      <c r="A288" s="70"/>
      <c r="B288" s="70"/>
      <c r="C288" s="70"/>
      <c r="D288" s="70"/>
      <c r="E288" s="70"/>
      <c r="F288" s="70"/>
      <c r="G288" s="70"/>
      <c r="H288" s="70"/>
      <c r="I288" s="70"/>
      <c r="J288" s="70"/>
      <c r="K288" s="71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</row>
    <row r="289" spans="1:26" ht="12.75" customHeight="1">
      <c r="A289" s="70"/>
      <c r="B289" s="70"/>
      <c r="C289" s="70"/>
      <c r="D289" s="70"/>
      <c r="E289" s="70"/>
      <c r="F289" s="70"/>
      <c r="G289" s="70"/>
      <c r="H289" s="70"/>
      <c r="I289" s="70"/>
      <c r="J289" s="70"/>
      <c r="K289" s="71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</row>
    <row r="290" spans="1:26" ht="12.75" customHeight="1">
      <c r="A290" s="70"/>
      <c r="B290" s="70"/>
      <c r="C290" s="70"/>
      <c r="D290" s="70"/>
      <c r="E290" s="70"/>
      <c r="F290" s="70"/>
      <c r="G290" s="70"/>
      <c r="H290" s="70"/>
      <c r="I290" s="70"/>
      <c r="J290" s="70"/>
      <c r="K290" s="71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</row>
    <row r="291" spans="1:26" ht="12.75" customHeight="1">
      <c r="A291" s="70"/>
      <c r="B291" s="70"/>
      <c r="C291" s="70"/>
      <c r="D291" s="70"/>
      <c r="E291" s="70"/>
      <c r="F291" s="70"/>
      <c r="G291" s="70"/>
      <c r="H291" s="70"/>
      <c r="I291" s="70"/>
      <c r="J291" s="70"/>
      <c r="K291" s="71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</row>
    <row r="292" spans="1:26" ht="12.75" customHeight="1">
      <c r="A292" s="70"/>
      <c r="B292" s="70"/>
      <c r="C292" s="70"/>
      <c r="D292" s="70"/>
      <c r="E292" s="70"/>
      <c r="F292" s="70"/>
      <c r="G292" s="70"/>
      <c r="H292" s="70"/>
      <c r="I292" s="70"/>
      <c r="J292" s="70"/>
      <c r="K292" s="71"/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</row>
    <row r="293" spans="1:26" ht="12.75" customHeight="1">
      <c r="A293" s="70"/>
      <c r="B293" s="70"/>
      <c r="C293" s="70"/>
      <c r="D293" s="70"/>
      <c r="E293" s="70"/>
      <c r="F293" s="70"/>
      <c r="G293" s="70"/>
      <c r="H293" s="70"/>
      <c r="I293" s="70"/>
      <c r="J293" s="70"/>
      <c r="K293" s="71"/>
      <c r="L293" s="70"/>
      <c r="M293" s="70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/>
      <c r="Y293" s="70"/>
      <c r="Z293" s="70"/>
    </row>
    <row r="294" spans="1:26" ht="12.75" customHeight="1">
      <c r="A294" s="70"/>
      <c r="B294" s="70"/>
      <c r="C294" s="70"/>
      <c r="D294" s="70"/>
      <c r="E294" s="70"/>
      <c r="F294" s="70"/>
      <c r="G294" s="70"/>
      <c r="H294" s="70"/>
      <c r="I294" s="70"/>
      <c r="J294" s="70"/>
      <c r="K294" s="71"/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</row>
    <row r="295" spans="1:26" ht="12.75" customHeight="1">
      <c r="A295" s="70"/>
      <c r="B295" s="70"/>
      <c r="C295" s="70"/>
      <c r="D295" s="70"/>
      <c r="E295" s="70"/>
      <c r="F295" s="70"/>
      <c r="G295" s="70"/>
      <c r="H295" s="70"/>
      <c r="I295" s="70"/>
      <c r="J295" s="70"/>
      <c r="K295" s="71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</row>
    <row r="296" spans="1:26" ht="12.75" customHeight="1">
      <c r="A296" s="70"/>
      <c r="B296" s="70"/>
      <c r="C296" s="70"/>
      <c r="D296" s="70"/>
      <c r="E296" s="70"/>
      <c r="F296" s="70"/>
      <c r="G296" s="70"/>
      <c r="H296" s="70"/>
      <c r="I296" s="70"/>
      <c r="J296" s="70"/>
      <c r="K296" s="71"/>
      <c r="L296" s="70"/>
      <c r="M296" s="70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</row>
    <row r="297" spans="1:26" ht="12.75" customHeight="1">
      <c r="A297" s="70"/>
      <c r="B297" s="70"/>
      <c r="C297" s="70"/>
      <c r="D297" s="70"/>
      <c r="E297" s="70"/>
      <c r="F297" s="70"/>
      <c r="G297" s="70"/>
      <c r="H297" s="70"/>
      <c r="I297" s="70"/>
      <c r="J297" s="70"/>
      <c r="K297" s="71"/>
      <c r="L297" s="70"/>
      <c r="M297" s="70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</row>
    <row r="298" spans="1:26" ht="12.75" customHeight="1">
      <c r="A298" s="70"/>
      <c r="B298" s="70"/>
      <c r="C298" s="70"/>
      <c r="D298" s="70"/>
      <c r="E298" s="70"/>
      <c r="F298" s="70"/>
      <c r="G298" s="70"/>
      <c r="H298" s="70"/>
      <c r="I298" s="70"/>
      <c r="J298" s="70"/>
      <c r="K298" s="71"/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</row>
    <row r="299" spans="1:26" ht="12.75" customHeight="1">
      <c r="A299" s="70"/>
      <c r="B299" s="70"/>
      <c r="C299" s="70"/>
      <c r="D299" s="70"/>
      <c r="E299" s="70"/>
      <c r="F299" s="70"/>
      <c r="G299" s="70"/>
      <c r="H299" s="70"/>
      <c r="I299" s="70"/>
      <c r="J299" s="70"/>
      <c r="K299" s="71"/>
      <c r="L299" s="70"/>
      <c r="M299" s="70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</row>
    <row r="300" spans="1:26" ht="12.75" customHeight="1">
      <c r="A300" s="70"/>
      <c r="B300" s="70"/>
      <c r="C300" s="70"/>
      <c r="D300" s="70"/>
      <c r="E300" s="70"/>
      <c r="F300" s="70"/>
      <c r="G300" s="70"/>
      <c r="H300" s="70"/>
      <c r="I300" s="70"/>
      <c r="J300" s="70"/>
      <c r="K300" s="71"/>
      <c r="L300" s="70"/>
      <c r="M300" s="70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</row>
    <row r="301" spans="1:26" ht="12.75" customHeight="1">
      <c r="A301" s="70"/>
      <c r="B301" s="70"/>
      <c r="C301" s="70"/>
      <c r="D301" s="70"/>
      <c r="E301" s="70"/>
      <c r="F301" s="70"/>
      <c r="G301" s="70"/>
      <c r="H301" s="70"/>
      <c r="I301" s="70"/>
      <c r="J301" s="70"/>
      <c r="K301" s="71"/>
      <c r="L301" s="70"/>
      <c r="M301" s="70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</row>
    <row r="302" spans="1:26" ht="12.75" customHeight="1">
      <c r="A302" s="70"/>
      <c r="B302" s="70"/>
      <c r="C302" s="70"/>
      <c r="D302" s="70"/>
      <c r="E302" s="70"/>
      <c r="F302" s="70"/>
      <c r="G302" s="70"/>
      <c r="H302" s="70"/>
      <c r="I302" s="70"/>
      <c r="J302" s="70"/>
      <c r="K302" s="71"/>
      <c r="L302" s="70"/>
      <c r="M302" s="70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</row>
    <row r="303" spans="1:26" ht="12.75" customHeight="1">
      <c r="A303" s="70"/>
      <c r="B303" s="70"/>
      <c r="C303" s="70"/>
      <c r="D303" s="70"/>
      <c r="E303" s="70"/>
      <c r="F303" s="70"/>
      <c r="G303" s="70"/>
      <c r="H303" s="70"/>
      <c r="I303" s="70"/>
      <c r="J303" s="70"/>
      <c r="K303" s="71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</row>
    <row r="304" spans="1:26" ht="12.75" customHeight="1">
      <c r="A304" s="70"/>
      <c r="B304" s="70"/>
      <c r="C304" s="70"/>
      <c r="D304" s="70"/>
      <c r="E304" s="70"/>
      <c r="F304" s="70"/>
      <c r="G304" s="70"/>
      <c r="H304" s="70"/>
      <c r="I304" s="70"/>
      <c r="J304" s="70"/>
      <c r="K304" s="71"/>
      <c r="L304" s="70"/>
      <c r="M304" s="70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</row>
    <row r="305" spans="1:26" ht="12.75" customHeight="1">
      <c r="A305" s="70"/>
      <c r="B305" s="70"/>
      <c r="C305" s="70"/>
      <c r="D305" s="70"/>
      <c r="E305" s="70"/>
      <c r="F305" s="70"/>
      <c r="G305" s="70"/>
      <c r="H305" s="70"/>
      <c r="I305" s="70"/>
      <c r="J305" s="70"/>
      <c r="K305" s="71"/>
      <c r="L305" s="70"/>
      <c r="M305" s="70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</row>
    <row r="306" spans="1:26" ht="12.75" customHeight="1">
      <c r="A306" s="70"/>
      <c r="B306" s="70"/>
      <c r="C306" s="70"/>
      <c r="D306" s="70"/>
      <c r="E306" s="70"/>
      <c r="F306" s="70"/>
      <c r="G306" s="70"/>
      <c r="H306" s="70"/>
      <c r="I306" s="70"/>
      <c r="J306" s="70"/>
      <c r="K306" s="71"/>
      <c r="L306" s="70"/>
      <c r="M306" s="70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/>
      <c r="Y306" s="70"/>
      <c r="Z306" s="70"/>
    </row>
    <row r="307" spans="1:26" ht="12.75" customHeight="1">
      <c r="A307" s="70"/>
      <c r="B307" s="70"/>
      <c r="C307" s="70"/>
      <c r="D307" s="70"/>
      <c r="E307" s="70"/>
      <c r="F307" s="70"/>
      <c r="G307" s="70"/>
      <c r="H307" s="70"/>
      <c r="I307" s="70"/>
      <c r="J307" s="70"/>
      <c r="K307" s="71"/>
      <c r="L307" s="70"/>
      <c r="M307" s="70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</row>
    <row r="308" spans="1:26" ht="12.75" customHeight="1">
      <c r="A308" s="70"/>
      <c r="B308" s="70"/>
      <c r="C308" s="70"/>
      <c r="D308" s="70"/>
      <c r="E308" s="70"/>
      <c r="F308" s="70"/>
      <c r="G308" s="70"/>
      <c r="H308" s="70"/>
      <c r="I308" s="70"/>
      <c r="J308" s="70"/>
      <c r="K308" s="71"/>
      <c r="L308" s="70"/>
      <c r="M308" s="70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</row>
    <row r="309" spans="1:26" ht="12.75" customHeight="1">
      <c r="A309" s="70"/>
      <c r="B309" s="70"/>
      <c r="C309" s="70"/>
      <c r="D309" s="70"/>
      <c r="E309" s="70"/>
      <c r="F309" s="70"/>
      <c r="G309" s="70"/>
      <c r="H309" s="70"/>
      <c r="I309" s="70"/>
      <c r="J309" s="70"/>
      <c r="K309" s="71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</row>
    <row r="310" spans="1:26" ht="12.75" customHeight="1">
      <c r="A310" s="70"/>
      <c r="B310" s="70"/>
      <c r="C310" s="70"/>
      <c r="D310" s="70"/>
      <c r="E310" s="70"/>
      <c r="F310" s="70"/>
      <c r="G310" s="70"/>
      <c r="H310" s="70"/>
      <c r="I310" s="70"/>
      <c r="J310" s="70"/>
      <c r="K310" s="71"/>
      <c r="L310" s="70"/>
      <c r="M310" s="70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/>
      <c r="Y310" s="70"/>
      <c r="Z310" s="70"/>
    </row>
    <row r="311" spans="1:26" ht="12.75" customHeight="1">
      <c r="A311" s="70"/>
      <c r="B311" s="70"/>
      <c r="C311" s="70"/>
      <c r="D311" s="70"/>
      <c r="E311" s="70"/>
      <c r="F311" s="70"/>
      <c r="G311" s="70"/>
      <c r="H311" s="70"/>
      <c r="I311" s="70"/>
      <c r="J311" s="70"/>
      <c r="K311" s="71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</row>
    <row r="312" spans="1:26" ht="12.75" customHeight="1">
      <c r="A312" s="70"/>
      <c r="B312" s="70"/>
      <c r="C312" s="70"/>
      <c r="D312" s="70"/>
      <c r="E312" s="70"/>
      <c r="F312" s="70"/>
      <c r="G312" s="70"/>
      <c r="H312" s="70"/>
      <c r="I312" s="70"/>
      <c r="J312" s="70"/>
      <c r="K312" s="71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</row>
    <row r="313" spans="1:26" ht="12.75" customHeight="1">
      <c r="A313" s="70"/>
      <c r="B313" s="70"/>
      <c r="C313" s="70"/>
      <c r="D313" s="70"/>
      <c r="E313" s="70"/>
      <c r="F313" s="70"/>
      <c r="G313" s="70"/>
      <c r="H313" s="70"/>
      <c r="I313" s="70"/>
      <c r="J313" s="70"/>
      <c r="K313" s="71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</row>
    <row r="314" spans="1:26" ht="12.75" customHeight="1">
      <c r="A314" s="70"/>
      <c r="B314" s="70"/>
      <c r="C314" s="70"/>
      <c r="D314" s="70"/>
      <c r="E314" s="70"/>
      <c r="F314" s="70"/>
      <c r="G314" s="70"/>
      <c r="H314" s="70"/>
      <c r="I314" s="70"/>
      <c r="J314" s="70"/>
      <c r="K314" s="71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</row>
    <row r="315" spans="1:26" ht="12.75" customHeight="1">
      <c r="A315" s="70"/>
      <c r="B315" s="70"/>
      <c r="C315" s="70"/>
      <c r="D315" s="70"/>
      <c r="E315" s="70"/>
      <c r="F315" s="70"/>
      <c r="G315" s="70"/>
      <c r="H315" s="70"/>
      <c r="I315" s="70"/>
      <c r="J315" s="70"/>
      <c r="K315" s="71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</row>
    <row r="316" spans="1:26" ht="12.75" customHeight="1">
      <c r="A316" s="70"/>
      <c r="B316" s="70"/>
      <c r="C316" s="70"/>
      <c r="D316" s="70"/>
      <c r="E316" s="70"/>
      <c r="F316" s="70"/>
      <c r="G316" s="70"/>
      <c r="H316" s="70"/>
      <c r="I316" s="70"/>
      <c r="J316" s="70"/>
      <c r="K316" s="71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</row>
    <row r="317" spans="1:26" ht="12.75" customHeight="1">
      <c r="A317" s="70"/>
      <c r="B317" s="70"/>
      <c r="C317" s="70"/>
      <c r="D317" s="70"/>
      <c r="E317" s="70"/>
      <c r="F317" s="70"/>
      <c r="G317" s="70"/>
      <c r="H317" s="70"/>
      <c r="I317" s="70"/>
      <c r="J317" s="70"/>
      <c r="K317" s="71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</row>
    <row r="318" spans="1:26" ht="12.75" customHeight="1">
      <c r="A318" s="70"/>
      <c r="B318" s="70"/>
      <c r="C318" s="70"/>
      <c r="D318" s="70"/>
      <c r="E318" s="70"/>
      <c r="F318" s="70"/>
      <c r="G318" s="70"/>
      <c r="H318" s="70"/>
      <c r="I318" s="70"/>
      <c r="J318" s="70"/>
      <c r="K318" s="71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</row>
    <row r="319" spans="1:26" ht="12.75" customHeight="1">
      <c r="A319" s="70"/>
      <c r="B319" s="70"/>
      <c r="C319" s="70"/>
      <c r="D319" s="70"/>
      <c r="E319" s="70"/>
      <c r="F319" s="70"/>
      <c r="G319" s="70"/>
      <c r="H319" s="70"/>
      <c r="I319" s="70"/>
      <c r="J319" s="70"/>
      <c r="K319" s="71"/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</row>
    <row r="320" spans="1:26" ht="12.75" customHeight="1">
      <c r="A320" s="70"/>
      <c r="B320" s="70"/>
      <c r="C320" s="70"/>
      <c r="D320" s="70"/>
      <c r="E320" s="70"/>
      <c r="F320" s="70"/>
      <c r="G320" s="70"/>
      <c r="H320" s="70"/>
      <c r="I320" s="70"/>
      <c r="J320" s="70"/>
      <c r="K320" s="71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</row>
    <row r="321" spans="1:26" ht="12.75" customHeight="1">
      <c r="A321" s="70"/>
      <c r="B321" s="70"/>
      <c r="C321" s="70"/>
      <c r="D321" s="70"/>
      <c r="E321" s="70"/>
      <c r="F321" s="70"/>
      <c r="G321" s="70"/>
      <c r="H321" s="70"/>
      <c r="I321" s="70"/>
      <c r="J321" s="70"/>
      <c r="K321" s="71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</row>
    <row r="322" spans="1:26" ht="12.75" customHeight="1">
      <c r="A322" s="70"/>
      <c r="B322" s="70"/>
      <c r="C322" s="70"/>
      <c r="D322" s="70"/>
      <c r="E322" s="70"/>
      <c r="F322" s="70"/>
      <c r="G322" s="70"/>
      <c r="H322" s="70"/>
      <c r="I322" s="70"/>
      <c r="J322" s="70"/>
      <c r="K322" s="71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</row>
    <row r="323" spans="1:26" ht="12.75" customHeight="1">
      <c r="A323" s="70"/>
      <c r="B323" s="70"/>
      <c r="C323" s="70"/>
      <c r="D323" s="70"/>
      <c r="E323" s="70"/>
      <c r="F323" s="70"/>
      <c r="G323" s="70"/>
      <c r="H323" s="70"/>
      <c r="I323" s="70"/>
      <c r="J323" s="70"/>
      <c r="K323" s="71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</row>
    <row r="324" spans="1:26" ht="12.75" customHeight="1">
      <c r="A324" s="70"/>
      <c r="B324" s="70"/>
      <c r="C324" s="70"/>
      <c r="D324" s="70"/>
      <c r="E324" s="70"/>
      <c r="F324" s="70"/>
      <c r="G324" s="70"/>
      <c r="H324" s="70"/>
      <c r="I324" s="70"/>
      <c r="J324" s="70"/>
      <c r="K324" s="71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</row>
    <row r="325" spans="1:26" ht="12.75" customHeight="1">
      <c r="A325" s="70"/>
      <c r="B325" s="70"/>
      <c r="C325" s="70"/>
      <c r="D325" s="70"/>
      <c r="E325" s="70"/>
      <c r="F325" s="70"/>
      <c r="G325" s="70"/>
      <c r="H325" s="70"/>
      <c r="I325" s="70"/>
      <c r="J325" s="70"/>
      <c r="K325" s="71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</row>
    <row r="326" spans="1:26" ht="12.75" customHeight="1">
      <c r="A326" s="70"/>
      <c r="B326" s="70"/>
      <c r="C326" s="70"/>
      <c r="D326" s="70"/>
      <c r="E326" s="70"/>
      <c r="F326" s="70"/>
      <c r="G326" s="70"/>
      <c r="H326" s="70"/>
      <c r="I326" s="70"/>
      <c r="J326" s="70"/>
      <c r="K326" s="71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</row>
    <row r="327" spans="1:26" ht="12.75" customHeight="1">
      <c r="A327" s="70"/>
      <c r="B327" s="70"/>
      <c r="C327" s="70"/>
      <c r="D327" s="70"/>
      <c r="E327" s="70"/>
      <c r="F327" s="70"/>
      <c r="G327" s="70"/>
      <c r="H327" s="70"/>
      <c r="I327" s="70"/>
      <c r="J327" s="70"/>
      <c r="K327" s="71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</row>
    <row r="328" spans="1:26" ht="12.75" customHeight="1">
      <c r="A328" s="70"/>
      <c r="B328" s="70"/>
      <c r="C328" s="70"/>
      <c r="D328" s="70"/>
      <c r="E328" s="70"/>
      <c r="F328" s="70"/>
      <c r="G328" s="70"/>
      <c r="H328" s="70"/>
      <c r="I328" s="70"/>
      <c r="J328" s="70"/>
      <c r="K328" s="71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</row>
    <row r="329" spans="1:26" ht="12.75" customHeight="1">
      <c r="A329" s="70"/>
      <c r="B329" s="70"/>
      <c r="C329" s="70"/>
      <c r="D329" s="70"/>
      <c r="E329" s="70"/>
      <c r="F329" s="70"/>
      <c r="G329" s="70"/>
      <c r="H329" s="70"/>
      <c r="I329" s="70"/>
      <c r="J329" s="70"/>
      <c r="K329" s="71"/>
      <c r="L329" s="70"/>
      <c r="M329" s="70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</row>
    <row r="330" spans="1:26" ht="12.75" customHeight="1">
      <c r="A330" s="70"/>
      <c r="B330" s="70"/>
      <c r="C330" s="70"/>
      <c r="D330" s="70"/>
      <c r="E330" s="70"/>
      <c r="F330" s="70"/>
      <c r="G330" s="70"/>
      <c r="H330" s="70"/>
      <c r="I330" s="70"/>
      <c r="J330" s="70"/>
      <c r="K330" s="71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</row>
    <row r="331" spans="1:26" ht="12.75" customHeight="1">
      <c r="A331" s="70"/>
      <c r="B331" s="70"/>
      <c r="C331" s="70"/>
      <c r="D331" s="70"/>
      <c r="E331" s="70"/>
      <c r="F331" s="70"/>
      <c r="G331" s="70"/>
      <c r="H331" s="70"/>
      <c r="I331" s="70"/>
      <c r="J331" s="70"/>
      <c r="K331" s="71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</row>
    <row r="332" spans="1:26" ht="12.75" customHeight="1">
      <c r="A332" s="70"/>
      <c r="B332" s="70"/>
      <c r="C332" s="70"/>
      <c r="D332" s="70"/>
      <c r="E332" s="70"/>
      <c r="F332" s="70"/>
      <c r="G332" s="70"/>
      <c r="H332" s="70"/>
      <c r="I332" s="70"/>
      <c r="J332" s="70"/>
      <c r="K332" s="71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</row>
    <row r="333" spans="1:26" ht="12.75" customHeight="1">
      <c r="A333" s="70"/>
      <c r="B333" s="70"/>
      <c r="C333" s="70"/>
      <c r="D333" s="70"/>
      <c r="E333" s="70"/>
      <c r="F333" s="70"/>
      <c r="G333" s="70"/>
      <c r="H333" s="70"/>
      <c r="I333" s="70"/>
      <c r="J333" s="70"/>
      <c r="K333" s="71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</row>
    <row r="334" spans="1:26" ht="12.75" customHeight="1">
      <c r="A334" s="70"/>
      <c r="B334" s="70"/>
      <c r="C334" s="70"/>
      <c r="D334" s="70"/>
      <c r="E334" s="70"/>
      <c r="F334" s="70"/>
      <c r="G334" s="70"/>
      <c r="H334" s="70"/>
      <c r="I334" s="70"/>
      <c r="J334" s="70"/>
      <c r="K334" s="71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</row>
    <row r="335" spans="1:26" ht="12.75" customHeight="1">
      <c r="A335" s="70"/>
      <c r="B335" s="70"/>
      <c r="C335" s="70"/>
      <c r="D335" s="70"/>
      <c r="E335" s="70"/>
      <c r="F335" s="70"/>
      <c r="G335" s="70"/>
      <c r="H335" s="70"/>
      <c r="I335" s="70"/>
      <c r="J335" s="70"/>
      <c r="K335" s="71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</row>
    <row r="336" spans="1:26" ht="12.75" customHeight="1">
      <c r="A336" s="70"/>
      <c r="B336" s="70"/>
      <c r="C336" s="70"/>
      <c r="D336" s="70"/>
      <c r="E336" s="70"/>
      <c r="F336" s="70"/>
      <c r="G336" s="70"/>
      <c r="H336" s="70"/>
      <c r="I336" s="70"/>
      <c r="J336" s="70"/>
      <c r="K336" s="71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</row>
    <row r="337" spans="1:26" ht="12.75" customHeight="1">
      <c r="A337" s="70"/>
      <c r="B337" s="70"/>
      <c r="C337" s="70"/>
      <c r="D337" s="70"/>
      <c r="E337" s="70"/>
      <c r="F337" s="70"/>
      <c r="G337" s="70"/>
      <c r="H337" s="70"/>
      <c r="I337" s="70"/>
      <c r="J337" s="70"/>
      <c r="K337" s="71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</row>
    <row r="338" spans="1:26" ht="12.75" customHeight="1">
      <c r="A338" s="70"/>
      <c r="B338" s="70"/>
      <c r="C338" s="70"/>
      <c r="D338" s="70"/>
      <c r="E338" s="70"/>
      <c r="F338" s="70"/>
      <c r="G338" s="70"/>
      <c r="H338" s="70"/>
      <c r="I338" s="70"/>
      <c r="J338" s="70"/>
      <c r="K338" s="71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</row>
    <row r="339" spans="1:26" ht="12.75" customHeight="1">
      <c r="A339" s="70"/>
      <c r="B339" s="70"/>
      <c r="C339" s="70"/>
      <c r="D339" s="70"/>
      <c r="E339" s="70"/>
      <c r="F339" s="70"/>
      <c r="G339" s="70"/>
      <c r="H339" s="70"/>
      <c r="I339" s="70"/>
      <c r="J339" s="70"/>
      <c r="K339" s="71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</row>
    <row r="340" spans="1:26" ht="12.75" customHeight="1">
      <c r="A340" s="70"/>
      <c r="B340" s="70"/>
      <c r="C340" s="70"/>
      <c r="D340" s="70"/>
      <c r="E340" s="70"/>
      <c r="F340" s="70"/>
      <c r="G340" s="70"/>
      <c r="H340" s="70"/>
      <c r="I340" s="70"/>
      <c r="J340" s="70"/>
      <c r="K340" s="71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</row>
    <row r="341" spans="1:26" ht="12.75" customHeight="1">
      <c r="A341" s="70"/>
      <c r="B341" s="70"/>
      <c r="C341" s="70"/>
      <c r="D341" s="70"/>
      <c r="E341" s="70"/>
      <c r="F341" s="70"/>
      <c r="G341" s="70"/>
      <c r="H341" s="70"/>
      <c r="I341" s="70"/>
      <c r="J341" s="70"/>
      <c r="K341" s="71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</row>
    <row r="342" spans="1:26" ht="12.75" customHeight="1">
      <c r="A342" s="70"/>
      <c r="B342" s="70"/>
      <c r="C342" s="70"/>
      <c r="D342" s="70"/>
      <c r="E342" s="70"/>
      <c r="F342" s="70"/>
      <c r="G342" s="70"/>
      <c r="H342" s="70"/>
      <c r="I342" s="70"/>
      <c r="J342" s="70"/>
      <c r="K342" s="71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</row>
    <row r="343" spans="1:26" ht="12.75" customHeight="1">
      <c r="A343" s="70"/>
      <c r="B343" s="70"/>
      <c r="C343" s="70"/>
      <c r="D343" s="70"/>
      <c r="E343" s="70"/>
      <c r="F343" s="70"/>
      <c r="G343" s="70"/>
      <c r="H343" s="70"/>
      <c r="I343" s="70"/>
      <c r="J343" s="70"/>
      <c r="K343" s="71"/>
      <c r="L343" s="70"/>
      <c r="M343" s="70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</row>
    <row r="344" spans="1:26" ht="12.75" customHeight="1">
      <c r="A344" s="70"/>
      <c r="B344" s="70"/>
      <c r="C344" s="70"/>
      <c r="D344" s="70"/>
      <c r="E344" s="70"/>
      <c r="F344" s="70"/>
      <c r="G344" s="70"/>
      <c r="H344" s="70"/>
      <c r="I344" s="70"/>
      <c r="J344" s="70"/>
      <c r="K344" s="71"/>
      <c r="L344" s="70"/>
      <c r="M344" s="70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</row>
    <row r="345" spans="1:26" ht="12.75" customHeight="1">
      <c r="A345" s="70"/>
      <c r="B345" s="70"/>
      <c r="C345" s="70"/>
      <c r="D345" s="70"/>
      <c r="E345" s="70"/>
      <c r="F345" s="70"/>
      <c r="G345" s="70"/>
      <c r="H345" s="70"/>
      <c r="I345" s="70"/>
      <c r="J345" s="70"/>
      <c r="K345" s="71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</row>
    <row r="346" spans="1:26" ht="12.75" customHeight="1">
      <c r="A346" s="70"/>
      <c r="B346" s="70"/>
      <c r="C346" s="70"/>
      <c r="D346" s="70"/>
      <c r="E346" s="70"/>
      <c r="F346" s="70"/>
      <c r="G346" s="70"/>
      <c r="H346" s="70"/>
      <c r="I346" s="70"/>
      <c r="J346" s="70"/>
      <c r="K346" s="71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</row>
    <row r="347" spans="1:26" ht="12.75" customHeight="1">
      <c r="A347" s="70"/>
      <c r="B347" s="70"/>
      <c r="C347" s="70"/>
      <c r="D347" s="70"/>
      <c r="E347" s="70"/>
      <c r="F347" s="70"/>
      <c r="G347" s="70"/>
      <c r="H347" s="70"/>
      <c r="I347" s="70"/>
      <c r="J347" s="70"/>
      <c r="K347" s="71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</row>
    <row r="348" spans="1:26" ht="12.75" customHeight="1">
      <c r="A348" s="70"/>
      <c r="B348" s="70"/>
      <c r="C348" s="70"/>
      <c r="D348" s="70"/>
      <c r="E348" s="70"/>
      <c r="F348" s="70"/>
      <c r="G348" s="70"/>
      <c r="H348" s="70"/>
      <c r="I348" s="70"/>
      <c r="J348" s="70"/>
      <c r="K348" s="71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</row>
    <row r="349" spans="1:26" ht="12.75" customHeight="1">
      <c r="A349" s="70"/>
      <c r="B349" s="70"/>
      <c r="C349" s="70"/>
      <c r="D349" s="70"/>
      <c r="E349" s="70"/>
      <c r="F349" s="70"/>
      <c r="G349" s="70"/>
      <c r="H349" s="70"/>
      <c r="I349" s="70"/>
      <c r="J349" s="70"/>
      <c r="K349" s="71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</row>
    <row r="350" spans="1:26" ht="12.75" customHeight="1">
      <c r="A350" s="70"/>
      <c r="B350" s="70"/>
      <c r="C350" s="70"/>
      <c r="D350" s="70"/>
      <c r="E350" s="70"/>
      <c r="F350" s="70"/>
      <c r="G350" s="70"/>
      <c r="H350" s="70"/>
      <c r="I350" s="70"/>
      <c r="J350" s="70"/>
      <c r="K350" s="71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</row>
    <row r="351" spans="1:26" ht="12.75" customHeight="1">
      <c r="A351" s="70"/>
      <c r="B351" s="70"/>
      <c r="C351" s="70"/>
      <c r="D351" s="70"/>
      <c r="E351" s="70"/>
      <c r="F351" s="70"/>
      <c r="G351" s="70"/>
      <c r="H351" s="70"/>
      <c r="I351" s="70"/>
      <c r="J351" s="70"/>
      <c r="K351" s="71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</row>
    <row r="352" spans="1:26" ht="12.75" customHeight="1">
      <c r="A352" s="70"/>
      <c r="B352" s="70"/>
      <c r="C352" s="70"/>
      <c r="D352" s="70"/>
      <c r="E352" s="70"/>
      <c r="F352" s="70"/>
      <c r="G352" s="70"/>
      <c r="H352" s="70"/>
      <c r="I352" s="70"/>
      <c r="J352" s="70"/>
      <c r="K352" s="71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</row>
    <row r="353" spans="1:26" ht="12.75" customHeight="1">
      <c r="A353" s="70"/>
      <c r="B353" s="70"/>
      <c r="C353" s="70"/>
      <c r="D353" s="70"/>
      <c r="E353" s="70"/>
      <c r="F353" s="70"/>
      <c r="G353" s="70"/>
      <c r="H353" s="70"/>
      <c r="I353" s="70"/>
      <c r="J353" s="70"/>
      <c r="K353" s="71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</row>
    <row r="354" spans="1:26" ht="12.75" customHeight="1">
      <c r="A354" s="70"/>
      <c r="B354" s="70"/>
      <c r="C354" s="70"/>
      <c r="D354" s="70"/>
      <c r="E354" s="70"/>
      <c r="F354" s="70"/>
      <c r="G354" s="70"/>
      <c r="H354" s="70"/>
      <c r="I354" s="70"/>
      <c r="J354" s="70"/>
      <c r="K354" s="71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</row>
    <row r="355" spans="1:26" ht="12.75" customHeight="1">
      <c r="A355" s="70"/>
      <c r="B355" s="70"/>
      <c r="C355" s="70"/>
      <c r="D355" s="70"/>
      <c r="E355" s="70"/>
      <c r="F355" s="70"/>
      <c r="G355" s="70"/>
      <c r="H355" s="70"/>
      <c r="I355" s="70"/>
      <c r="J355" s="70"/>
      <c r="K355" s="71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</row>
    <row r="356" spans="1:26" ht="12.75" customHeight="1">
      <c r="A356" s="70"/>
      <c r="B356" s="70"/>
      <c r="C356" s="70"/>
      <c r="D356" s="70"/>
      <c r="E356" s="70"/>
      <c r="F356" s="70"/>
      <c r="G356" s="70"/>
      <c r="H356" s="70"/>
      <c r="I356" s="70"/>
      <c r="J356" s="70"/>
      <c r="K356" s="71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</row>
    <row r="357" spans="1:26" ht="12.75" customHeight="1">
      <c r="A357" s="70"/>
      <c r="B357" s="70"/>
      <c r="C357" s="70"/>
      <c r="D357" s="70"/>
      <c r="E357" s="70"/>
      <c r="F357" s="70"/>
      <c r="G357" s="70"/>
      <c r="H357" s="70"/>
      <c r="I357" s="70"/>
      <c r="J357" s="70"/>
      <c r="K357" s="71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</row>
    <row r="358" spans="1:26" ht="12.75" customHeight="1">
      <c r="A358" s="70"/>
      <c r="B358" s="70"/>
      <c r="C358" s="70"/>
      <c r="D358" s="70"/>
      <c r="E358" s="70"/>
      <c r="F358" s="70"/>
      <c r="G358" s="70"/>
      <c r="H358" s="70"/>
      <c r="I358" s="70"/>
      <c r="J358" s="70"/>
      <c r="K358" s="71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</row>
    <row r="359" spans="1:26" ht="12.75" customHeight="1">
      <c r="A359" s="70"/>
      <c r="B359" s="70"/>
      <c r="C359" s="70"/>
      <c r="D359" s="70"/>
      <c r="E359" s="70"/>
      <c r="F359" s="70"/>
      <c r="G359" s="70"/>
      <c r="H359" s="70"/>
      <c r="I359" s="70"/>
      <c r="J359" s="70"/>
      <c r="K359" s="71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</row>
    <row r="360" spans="1:26" ht="12.75" customHeight="1">
      <c r="A360" s="70"/>
      <c r="B360" s="70"/>
      <c r="C360" s="70"/>
      <c r="D360" s="70"/>
      <c r="E360" s="70"/>
      <c r="F360" s="70"/>
      <c r="G360" s="70"/>
      <c r="H360" s="70"/>
      <c r="I360" s="70"/>
      <c r="J360" s="70"/>
      <c r="K360" s="71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</row>
    <row r="361" spans="1:26" ht="12.75" customHeight="1">
      <c r="A361" s="70"/>
      <c r="B361" s="70"/>
      <c r="C361" s="70"/>
      <c r="D361" s="70"/>
      <c r="E361" s="70"/>
      <c r="F361" s="70"/>
      <c r="G361" s="70"/>
      <c r="H361" s="70"/>
      <c r="I361" s="70"/>
      <c r="J361" s="70"/>
      <c r="K361" s="71"/>
      <c r="L361" s="70"/>
      <c r="M361" s="70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</row>
    <row r="362" spans="1:26" ht="12.75" customHeight="1">
      <c r="A362" s="70"/>
      <c r="B362" s="70"/>
      <c r="C362" s="70"/>
      <c r="D362" s="70"/>
      <c r="E362" s="70"/>
      <c r="F362" s="70"/>
      <c r="G362" s="70"/>
      <c r="H362" s="70"/>
      <c r="I362" s="70"/>
      <c r="J362" s="70"/>
      <c r="K362" s="71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</row>
    <row r="363" spans="1:26" ht="12.75" customHeight="1">
      <c r="A363" s="70"/>
      <c r="B363" s="70"/>
      <c r="C363" s="70"/>
      <c r="D363" s="70"/>
      <c r="E363" s="70"/>
      <c r="F363" s="70"/>
      <c r="G363" s="70"/>
      <c r="H363" s="70"/>
      <c r="I363" s="70"/>
      <c r="J363" s="70"/>
      <c r="K363" s="71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</row>
    <row r="364" spans="1:26" ht="12.75" customHeight="1">
      <c r="A364" s="70"/>
      <c r="B364" s="70"/>
      <c r="C364" s="70"/>
      <c r="D364" s="70"/>
      <c r="E364" s="70"/>
      <c r="F364" s="70"/>
      <c r="G364" s="70"/>
      <c r="H364" s="70"/>
      <c r="I364" s="70"/>
      <c r="J364" s="70"/>
      <c r="K364" s="71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</row>
    <row r="365" spans="1:26" ht="12.75" customHeight="1">
      <c r="A365" s="70"/>
      <c r="B365" s="70"/>
      <c r="C365" s="70"/>
      <c r="D365" s="70"/>
      <c r="E365" s="70"/>
      <c r="F365" s="70"/>
      <c r="G365" s="70"/>
      <c r="H365" s="70"/>
      <c r="I365" s="70"/>
      <c r="J365" s="70"/>
      <c r="K365" s="71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</row>
    <row r="366" spans="1:26" ht="12.75" customHeight="1">
      <c r="A366" s="70"/>
      <c r="B366" s="70"/>
      <c r="C366" s="70"/>
      <c r="D366" s="70"/>
      <c r="E366" s="70"/>
      <c r="F366" s="70"/>
      <c r="G366" s="70"/>
      <c r="H366" s="70"/>
      <c r="I366" s="70"/>
      <c r="J366" s="70"/>
      <c r="K366" s="71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</row>
    <row r="367" spans="1:26" ht="12.75" customHeight="1">
      <c r="A367" s="70"/>
      <c r="B367" s="70"/>
      <c r="C367" s="70"/>
      <c r="D367" s="70"/>
      <c r="E367" s="70"/>
      <c r="F367" s="70"/>
      <c r="G367" s="70"/>
      <c r="H367" s="70"/>
      <c r="I367" s="70"/>
      <c r="J367" s="70"/>
      <c r="K367" s="71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</row>
    <row r="368" spans="1:26" ht="12.75" customHeight="1">
      <c r="A368" s="70"/>
      <c r="B368" s="70"/>
      <c r="C368" s="70"/>
      <c r="D368" s="70"/>
      <c r="E368" s="70"/>
      <c r="F368" s="70"/>
      <c r="G368" s="70"/>
      <c r="H368" s="70"/>
      <c r="I368" s="70"/>
      <c r="J368" s="70"/>
      <c r="K368" s="71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</row>
    <row r="369" spans="1:26" ht="12.75" customHeight="1">
      <c r="A369" s="70"/>
      <c r="B369" s="70"/>
      <c r="C369" s="70"/>
      <c r="D369" s="70"/>
      <c r="E369" s="70"/>
      <c r="F369" s="70"/>
      <c r="G369" s="70"/>
      <c r="H369" s="70"/>
      <c r="I369" s="70"/>
      <c r="J369" s="70"/>
      <c r="K369" s="71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</row>
    <row r="370" spans="1:26" ht="12.75" customHeight="1">
      <c r="A370" s="70"/>
      <c r="B370" s="70"/>
      <c r="C370" s="70"/>
      <c r="D370" s="70"/>
      <c r="E370" s="70"/>
      <c r="F370" s="70"/>
      <c r="G370" s="70"/>
      <c r="H370" s="70"/>
      <c r="I370" s="70"/>
      <c r="J370" s="70"/>
      <c r="K370" s="71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</row>
    <row r="371" spans="1:26" ht="12.75" customHeight="1">
      <c r="A371" s="70"/>
      <c r="B371" s="70"/>
      <c r="C371" s="70"/>
      <c r="D371" s="70"/>
      <c r="E371" s="70"/>
      <c r="F371" s="70"/>
      <c r="G371" s="70"/>
      <c r="H371" s="70"/>
      <c r="I371" s="70"/>
      <c r="J371" s="70"/>
      <c r="K371" s="71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</row>
    <row r="372" spans="1:26" ht="12.75" customHeight="1">
      <c r="A372" s="70"/>
      <c r="B372" s="70"/>
      <c r="C372" s="70"/>
      <c r="D372" s="70"/>
      <c r="E372" s="70"/>
      <c r="F372" s="70"/>
      <c r="G372" s="70"/>
      <c r="H372" s="70"/>
      <c r="I372" s="70"/>
      <c r="J372" s="70"/>
      <c r="K372" s="71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</row>
    <row r="373" spans="1:26" ht="12.75" customHeight="1">
      <c r="A373" s="70"/>
      <c r="B373" s="70"/>
      <c r="C373" s="70"/>
      <c r="D373" s="70"/>
      <c r="E373" s="70"/>
      <c r="F373" s="70"/>
      <c r="G373" s="70"/>
      <c r="H373" s="70"/>
      <c r="I373" s="70"/>
      <c r="J373" s="70"/>
      <c r="K373" s="71"/>
      <c r="L373" s="70"/>
      <c r="M373" s="70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</row>
    <row r="374" spans="1:26" ht="12.75" customHeight="1">
      <c r="A374" s="70"/>
      <c r="B374" s="70"/>
      <c r="C374" s="70"/>
      <c r="D374" s="70"/>
      <c r="E374" s="70"/>
      <c r="F374" s="70"/>
      <c r="G374" s="70"/>
      <c r="H374" s="70"/>
      <c r="I374" s="70"/>
      <c r="J374" s="70"/>
      <c r="K374" s="71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</row>
    <row r="375" spans="1:26" ht="12.75" customHeight="1">
      <c r="A375" s="70"/>
      <c r="B375" s="70"/>
      <c r="C375" s="70"/>
      <c r="D375" s="70"/>
      <c r="E375" s="70"/>
      <c r="F375" s="70"/>
      <c r="G375" s="70"/>
      <c r="H375" s="70"/>
      <c r="I375" s="70"/>
      <c r="J375" s="70"/>
      <c r="K375" s="71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</row>
    <row r="376" spans="1:26" ht="12.75" customHeight="1">
      <c r="A376" s="70"/>
      <c r="B376" s="70"/>
      <c r="C376" s="70"/>
      <c r="D376" s="70"/>
      <c r="E376" s="70"/>
      <c r="F376" s="70"/>
      <c r="G376" s="70"/>
      <c r="H376" s="70"/>
      <c r="I376" s="70"/>
      <c r="J376" s="70"/>
      <c r="K376" s="71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</row>
    <row r="377" spans="1:26" ht="12.75" customHeight="1">
      <c r="A377" s="70"/>
      <c r="B377" s="70"/>
      <c r="C377" s="70"/>
      <c r="D377" s="70"/>
      <c r="E377" s="70"/>
      <c r="F377" s="70"/>
      <c r="G377" s="70"/>
      <c r="H377" s="70"/>
      <c r="I377" s="70"/>
      <c r="J377" s="70"/>
      <c r="K377" s="71"/>
      <c r="L377" s="70"/>
      <c r="M377" s="70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</row>
    <row r="378" spans="1:26" ht="12.75" customHeight="1">
      <c r="A378" s="70"/>
      <c r="B378" s="70"/>
      <c r="C378" s="70"/>
      <c r="D378" s="70"/>
      <c r="E378" s="70"/>
      <c r="F378" s="70"/>
      <c r="G378" s="70"/>
      <c r="H378" s="70"/>
      <c r="I378" s="70"/>
      <c r="J378" s="70"/>
      <c r="K378" s="71"/>
      <c r="L378" s="70"/>
      <c r="M378" s="70"/>
      <c r="N378" s="70"/>
      <c r="O378" s="70"/>
      <c r="P378" s="70"/>
      <c r="Q378" s="70"/>
      <c r="R378" s="70"/>
      <c r="S378" s="70"/>
      <c r="T378" s="70"/>
      <c r="U378" s="70"/>
      <c r="V378" s="70"/>
      <c r="W378" s="70"/>
      <c r="X378" s="70"/>
      <c r="Y378" s="70"/>
      <c r="Z378" s="70"/>
    </row>
    <row r="379" spans="1:26" ht="12.75" customHeight="1">
      <c r="A379" s="70"/>
      <c r="B379" s="70"/>
      <c r="C379" s="70"/>
      <c r="D379" s="70"/>
      <c r="E379" s="70"/>
      <c r="F379" s="70"/>
      <c r="G379" s="70"/>
      <c r="H379" s="70"/>
      <c r="I379" s="70"/>
      <c r="J379" s="70"/>
      <c r="K379" s="71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</row>
    <row r="380" spans="1:26" ht="12.75" customHeight="1">
      <c r="A380" s="70"/>
      <c r="B380" s="70"/>
      <c r="C380" s="70"/>
      <c r="D380" s="70"/>
      <c r="E380" s="70"/>
      <c r="F380" s="70"/>
      <c r="G380" s="70"/>
      <c r="H380" s="70"/>
      <c r="I380" s="70"/>
      <c r="J380" s="70"/>
      <c r="K380" s="71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</row>
    <row r="381" spans="1:26" ht="12.75" customHeight="1">
      <c r="A381" s="70"/>
      <c r="B381" s="70"/>
      <c r="C381" s="70"/>
      <c r="D381" s="70"/>
      <c r="E381" s="70"/>
      <c r="F381" s="70"/>
      <c r="G381" s="70"/>
      <c r="H381" s="70"/>
      <c r="I381" s="70"/>
      <c r="J381" s="70"/>
      <c r="K381" s="71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</row>
    <row r="382" spans="1:26" ht="12.75" customHeight="1">
      <c r="A382" s="70"/>
      <c r="B382" s="70"/>
      <c r="C382" s="70"/>
      <c r="D382" s="70"/>
      <c r="E382" s="70"/>
      <c r="F382" s="70"/>
      <c r="G382" s="70"/>
      <c r="H382" s="70"/>
      <c r="I382" s="70"/>
      <c r="J382" s="70"/>
      <c r="K382" s="71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</row>
    <row r="383" spans="1:26" ht="12.75" customHeight="1">
      <c r="A383" s="70"/>
      <c r="B383" s="70"/>
      <c r="C383" s="70"/>
      <c r="D383" s="70"/>
      <c r="E383" s="70"/>
      <c r="F383" s="70"/>
      <c r="G383" s="70"/>
      <c r="H383" s="70"/>
      <c r="I383" s="70"/>
      <c r="J383" s="70"/>
      <c r="K383" s="71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</row>
    <row r="384" spans="1:26" ht="12.75" customHeight="1">
      <c r="A384" s="70"/>
      <c r="B384" s="70"/>
      <c r="C384" s="70"/>
      <c r="D384" s="70"/>
      <c r="E384" s="70"/>
      <c r="F384" s="70"/>
      <c r="G384" s="70"/>
      <c r="H384" s="70"/>
      <c r="I384" s="70"/>
      <c r="J384" s="70"/>
      <c r="K384" s="71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</row>
    <row r="385" spans="1:26" ht="12.75" customHeight="1">
      <c r="A385" s="70"/>
      <c r="B385" s="70"/>
      <c r="C385" s="70"/>
      <c r="D385" s="70"/>
      <c r="E385" s="70"/>
      <c r="F385" s="70"/>
      <c r="G385" s="70"/>
      <c r="H385" s="70"/>
      <c r="I385" s="70"/>
      <c r="J385" s="70"/>
      <c r="K385" s="71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</row>
    <row r="386" spans="1:26" ht="12.75" customHeight="1">
      <c r="A386" s="70"/>
      <c r="B386" s="70"/>
      <c r="C386" s="70"/>
      <c r="D386" s="70"/>
      <c r="E386" s="70"/>
      <c r="F386" s="70"/>
      <c r="G386" s="70"/>
      <c r="H386" s="70"/>
      <c r="I386" s="70"/>
      <c r="J386" s="70"/>
      <c r="K386" s="71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</row>
    <row r="387" spans="1:26" ht="12.75" customHeight="1">
      <c r="A387" s="70"/>
      <c r="B387" s="70"/>
      <c r="C387" s="70"/>
      <c r="D387" s="70"/>
      <c r="E387" s="70"/>
      <c r="F387" s="70"/>
      <c r="G387" s="70"/>
      <c r="H387" s="70"/>
      <c r="I387" s="70"/>
      <c r="J387" s="70"/>
      <c r="K387" s="71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</row>
    <row r="388" spans="1:26" ht="12.75" customHeight="1">
      <c r="A388" s="70"/>
      <c r="B388" s="70"/>
      <c r="C388" s="70"/>
      <c r="D388" s="70"/>
      <c r="E388" s="70"/>
      <c r="F388" s="70"/>
      <c r="G388" s="70"/>
      <c r="H388" s="70"/>
      <c r="I388" s="70"/>
      <c r="J388" s="70"/>
      <c r="K388" s="71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</row>
    <row r="389" spans="1:26" ht="12.75" customHeight="1">
      <c r="A389" s="70"/>
      <c r="B389" s="70"/>
      <c r="C389" s="70"/>
      <c r="D389" s="70"/>
      <c r="E389" s="70"/>
      <c r="F389" s="70"/>
      <c r="G389" s="70"/>
      <c r="H389" s="70"/>
      <c r="I389" s="70"/>
      <c r="J389" s="70"/>
      <c r="K389" s="71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</row>
    <row r="390" spans="1:26" ht="12.75" customHeight="1">
      <c r="A390" s="70"/>
      <c r="B390" s="70"/>
      <c r="C390" s="70"/>
      <c r="D390" s="70"/>
      <c r="E390" s="70"/>
      <c r="F390" s="70"/>
      <c r="G390" s="70"/>
      <c r="H390" s="70"/>
      <c r="I390" s="70"/>
      <c r="J390" s="70"/>
      <c r="K390" s="71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</row>
    <row r="391" spans="1:26" ht="12.75" customHeight="1">
      <c r="A391" s="70"/>
      <c r="B391" s="70"/>
      <c r="C391" s="70"/>
      <c r="D391" s="70"/>
      <c r="E391" s="70"/>
      <c r="F391" s="70"/>
      <c r="G391" s="70"/>
      <c r="H391" s="70"/>
      <c r="I391" s="70"/>
      <c r="J391" s="70"/>
      <c r="K391" s="71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</row>
    <row r="392" spans="1:26" ht="12.75" customHeight="1">
      <c r="A392" s="70"/>
      <c r="B392" s="70"/>
      <c r="C392" s="70"/>
      <c r="D392" s="70"/>
      <c r="E392" s="70"/>
      <c r="F392" s="70"/>
      <c r="G392" s="70"/>
      <c r="H392" s="70"/>
      <c r="I392" s="70"/>
      <c r="J392" s="70"/>
      <c r="K392" s="71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</row>
    <row r="393" spans="1:26" ht="12.75" customHeight="1">
      <c r="A393" s="70"/>
      <c r="B393" s="70"/>
      <c r="C393" s="70"/>
      <c r="D393" s="70"/>
      <c r="E393" s="70"/>
      <c r="F393" s="70"/>
      <c r="G393" s="70"/>
      <c r="H393" s="70"/>
      <c r="I393" s="70"/>
      <c r="J393" s="70"/>
      <c r="K393" s="71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</row>
    <row r="394" spans="1:26" ht="12.75" customHeight="1">
      <c r="A394" s="70"/>
      <c r="B394" s="70"/>
      <c r="C394" s="70"/>
      <c r="D394" s="70"/>
      <c r="E394" s="70"/>
      <c r="F394" s="70"/>
      <c r="G394" s="70"/>
      <c r="H394" s="70"/>
      <c r="I394" s="70"/>
      <c r="J394" s="70"/>
      <c r="K394" s="71"/>
      <c r="L394" s="70"/>
      <c r="M394" s="70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</row>
    <row r="395" spans="1:26" ht="12.75" customHeight="1">
      <c r="A395" s="70"/>
      <c r="B395" s="70"/>
      <c r="C395" s="70"/>
      <c r="D395" s="70"/>
      <c r="E395" s="70"/>
      <c r="F395" s="70"/>
      <c r="G395" s="70"/>
      <c r="H395" s="70"/>
      <c r="I395" s="70"/>
      <c r="J395" s="70"/>
      <c r="K395" s="71"/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/>
      <c r="Y395" s="70"/>
      <c r="Z395" s="70"/>
    </row>
    <row r="396" spans="1:26" ht="12.75" customHeight="1">
      <c r="A396" s="70"/>
      <c r="B396" s="70"/>
      <c r="C396" s="70"/>
      <c r="D396" s="70"/>
      <c r="E396" s="70"/>
      <c r="F396" s="70"/>
      <c r="G396" s="70"/>
      <c r="H396" s="70"/>
      <c r="I396" s="70"/>
      <c r="J396" s="70"/>
      <c r="K396" s="71"/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</row>
    <row r="397" spans="1:26" ht="12.75" customHeight="1">
      <c r="A397" s="70"/>
      <c r="B397" s="70"/>
      <c r="C397" s="70"/>
      <c r="D397" s="70"/>
      <c r="E397" s="70"/>
      <c r="F397" s="70"/>
      <c r="G397" s="70"/>
      <c r="H397" s="70"/>
      <c r="I397" s="70"/>
      <c r="J397" s="70"/>
      <c r="K397" s="71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</row>
    <row r="398" spans="1:26" ht="12.75" customHeight="1">
      <c r="A398" s="70"/>
      <c r="B398" s="70"/>
      <c r="C398" s="70"/>
      <c r="D398" s="70"/>
      <c r="E398" s="70"/>
      <c r="F398" s="70"/>
      <c r="G398" s="70"/>
      <c r="H398" s="70"/>
      <c r="I398" s="70"/>
      <c r="J398" s="70"/>
      <c r="K398" s="71"/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</row>
    <row r="399" spans="1:26" ht="12.75" customHeight="1">
      <c r="A399" s="70"/>
      <c r="B399" s="70"/>
      <c r="C399" s="70"/>
      <c r="D399" s="70"/>
      <c r="E399" s="70"/>
      <c r="F399" s="70"/>
      <c r="G399" s="70"/>
      <c r="H399" s="70"/>
      <c r="I399" s="70"/>
      <c r="J399" s="70"/>
      <c r="K399" s="71"/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</row>
    <row r="400" spans="1:26" ht="12.75" customHeight="1">
      <c r="A400" s="70"/>
      <c r="B400" s="70"/>
      <c r="C400" s="70"/>
      <c r="D400" s="70"/>
      <c r="E400" s="70"/>
      <c r="F400" s="70"/>
      <c r="G400" s="70"/>
      <c r="H400" s="70"/>
      <c r="I400" s="70"/>
      <c r="J400" s="70"/>
      <c r="K400" s="71"/>
      <c r="L400" s="70"/>
      <c r="M400" s="70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</row>
    <row r="401" spans="1:26" ht="12.75" customHeight="1">
      <c r="A401" s="70"/>
      <c r="B401" s="70"/>
      <c r="C401" s="70"/>
      <c r="D401" s="70"/>
      <c r="E401" s="70"/>
      <c r="F401" s="70"/>
      <c r="G401" s="70"/>
      <c r="H401" s="70"/>
      <c r="I401" s="70"/>
      <c r="J401" s="70"/>
      <c r="K401" s="71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</row>
    <row r="402" spans="1:26" ht="12.75" customHeight="1">
      <c r="A402" s="70"/>
      <c r="B402" s="70"/>
      <c r="C402" s="70"/>
      <c r="D402" s="70"/>
      <c r="E402" s="70"/>
      <c r="F402" s="70"/>
      <c r="G402" s="70"/>
      <c r="H402" s="70"/>
      <c r="I402" s="70"/>
      <c r="J402" s="70"/>
      <c r="K402" s="71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</row>
    <row r="403" spans="1:26" ht="12.75" customHeight="1">
      <c r="A403" s="70"/>
      <c r="B403" s="70"/>
      <c r="C403" s="70"/>
      <c r="D403" s="70"/>
      <c r="E403" s="70"/>
      <c r="F403" s="70"/>
      <c r="G403" s="70"/>
      <c r="H403" s="70"/>
      <c r="I403" s="70"/>
      <c r="J403" s="70"/>
      <c r="K403" s="71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</row>
    <row r="404" spans="1:26" ht="12.75" customHeight="1">
      <c r="A404" s="70"/>
      <c r="B404" s="70"/>
      <c r="C404" s="70"/>
      <c r="D404" s="70"/>
      <c r="E404" s="70"/>
      <c r="F404" s="70"/>
      <c r="G404" s="70"/>
      <c r="H404" s="70"/>
      <c r="I404" s="70"/>
      <c r="J404" s="70"/>
      <c r="K404" s="71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</row>
    <row r="405" spans="1:26" ht="12.75" customHeight="1">
      <c r="A405" s="70"/>
      <c r="B405" s="70"/>
      <c r="C405" s="70"/>
      <c r="D405" s="70"/>
      <c r="E405" s="70"/>
      <c r="F405" s="70"/>
      <c r="G405" s="70"/>
      <c r="H405" s="70"/>
      <c r="I405" s="70"/>
      <c r="J405" s="70"/>
      <c r="K405" s="71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</row>
    <row r="406" spans="1:26" ht="12.75" customHeight="1">
      <c r="A406" s="70"/>
      <c r="B406" s="70"/>
      <c r="C406" s="70"/>
      <c r="D406" s="70"/>
      <c r="E406" s="70"/>
      <c r="F406" s="70"/>
      <c r="G406" s="70"/>
      <c r="H406" s="70"/>
      <c r="I406" s="70"/>
      <c r="J406" s="70"/>
      <c r="K406" s="71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</row>
    <row r="407" spans="1:26" ht="12.75" customHeight="1">
      <c r="A407" s="70"/>
      <c r="B407" s="70"/>
      <c r="C407" s="70"/>
      <c r="D407" s="70"/>
      <c r="E407" s="70"/>
      <c r="F407" s="70"/>
      <c r="G407" s="70"/>
      <c r="H407" s="70"/>
      <c r="I407" s="70"/>
      <c r="J407" s="70"/>
      <c r="K407" s="71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</row>
    <row r="408" spans="1:26" ht="12.75" customHeight="1">
      <c r="A408" s="70"/>
      <c r="B408" s="70"/>
      <c r="C408" s="70"/>
      <c r="D408" s="70"/>
      <c r="E408" s="70"/>
      <c r="F408" s="70"/>
      <c r="G408" s="70"/>
      <c r="H408" s="70"/>
      <c r="I408" s="70"/>
      <c r="J408" s="70"/>
      <c r="K408" s="71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</row>
    <row r="409" spans="1:26" ht="12.75" customHeight="1">
      <c r="A409" s="70"/>
      <c r="B409" s="70"/>
      <c r="C409" s="70"/>
      <c r="D409" s="70"/>
      <c r="E409" s="70"/>
      <c r="F409" s="70"/>
      <c r="G409" s="70"/>
      <c r="H409" s="70"/>
      <c r="I409" s="70"/>
      <c r="J409" s="70"/>
      <c r="K409" s="71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</row>
    <row r="410" spans="1:26" ht="12.75" customHeight="1">
      <c r="A410" s="70"/>
      <c r="B410" s="70"/>
      <c r="C410" s="70"/>
      <c r="D410" s="70"/>
      <c r="E410" s="70"/>
      <c r="F410" s="70"/>
      <c r="G410" s="70"/>
      <c r="H410" s="70"/>
      <c r="I410" s="70"/>
      <c r="J410" s="70"/>
      <c r="K410" s="71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</row>
    <row r="411" spans="1:26" ht="12.75" customHeight="1">
      <c r="A411" s="70"/>
      <c r="B411" s="70"/>
      <c r="C411" s="70"/>
      <c r="D411" s="70"/>
      <c r="E411" s="70"/>
      <c r="F411" s="70"/>
      <c r="G411" s="70"/>
      <c r="H411" s="70"/>
      <c r="I411" s="70"/>
      <c r="J411" s="70"/>
      <c r="K411" s="71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</row>
    <row r="412" spans="1:26" ht="12.75" customHeight="1">
      <c r="A412" s="70"/>
      <c r="B412" s="70"/>
      <c r="C412" s="70"/>
      <c r="D412" s="70"/>
      <c r="E412" s="70"/>
      <c r="F412" s="70"/>
      <c r="G412" s="70"/>
      <c r="H412" s="70"/>
      <c r="I412" s="70"/>
      <c r="J412" s="70"/>
      <c r="K412" s="71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</row>
    <row r="413" spans="1:26" ht="12.75" customHeight="1">
      <c r="A413" s="70"/>
      <c r="B413" s="70"/>
      <c r="C413" s="70"/>
      <c r="D413" s="70"/>
      <c r="E413" s="70"/>
      <c r="F413" s="70"/>
      <c r="G413" s="70"/>
      <c r="H413" s="70"/>
      <c r="I413" s="70"/>
      <c r="J413" s="70"/>
      <c r="K413" s="71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</row>
    <row r="414" spans="1:26" ht="12.75" customHeight="1">
      <c r="A414" s="70"/>
      <c r="B414" s="70"/>
      <c r="C414" s="70"/>
      <c r="D414" s="70"/>
      <c r="E414" s="70"/>
      <c r="F414" s="70"/>
      <c r="G414" s="70"/>
      <c r="H414" s="70"/>
      <c r="I414" s="70"/>
      <c r="J414" s="70"/>
      <c r="K414" s="71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</row>
    <row r="415" spans="1:26" ht="12.75" customHeight="1">
      <c r="A415" s="70"/>
      <c r="B415" s="70"/>
      <c r="C415" s="70"/>
      <c r="D415" s="70"/>
      <c r="E415" s="70"/>
      <c r="F415" s="70"/>
      <c r="G415" s="70"/>
      <c r="H415" s="70"/>
      <c r="I415" s="70"/>
      <c r="J415" s="70"/>
      <c r="K415" s="71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</row>
    <row r="416" spans="1:26" ht="12.75" customHeight="1">
      <c r="A416" s="70"/>
      <c r="B416" s="70"/>
      <c r="C416" s="70"/>
      <c r="D416" s="70"/>
      <c r="E416" s="70"/>
      <c r="F416" s="70"/>
      <c r="G416" s="70"/>
      <c r="H416" s="70"/>
      <c r="I416" s="70"/>
      <c r="J416" s="70"/>
      <c r="K416" s="71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</row>
    <row r="417" spans="1:26" ht="12.75" customHeight="1">
      <c r="A417" s="70"/>
      <c r="B417" s="70"/>
      <c r="C417" s="70"/>
      <c r="D417" s="70"/>
      <c r="E417" s="70"/>
      <c r="F417" s="70"/>
      <c r="G417" s="70"/>
      <c r="H417" s="70"/>
      <c r="I417" s="70"/>
      <c r="J417" s="70"/>
      <c r="K417" s="71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</row>
    <row r="418" spans="1:26" ht="12.75" customHeight="1">
      <c r="A418" s="70"/>
      <c r="B418" s="70"/>
      <c r="C418" s="70"/>
      <c r="D418" s="70"/>
      <c r="E418" s="70"/>
      <c r="F418" s="70"/>
      <c r="G418" s="70"/>
      <c r="H418" s="70"/>
      <c r="I418" s="70"/>
      <c r="J418" s="70"/>
      <c r="K418" s="71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</row>
    <row r="419" spans="1:26" ht="12.75" customHeight="1">
      <c r="A419" s="70"/>
      <c r="B419" s="70"/>
      <c r="C419" s="70"/>
      <c r="D419" s="70"/>
      <c r="E419" s="70"/>
      <c r="F419" s="70"/>
      <c r="G419" s="70"/>
      <c r="H419" s="70"/>
      <c r="I419" s="70"/>
      <c r="J419" s="70"/>
      <c r="K419" s="71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</row>
    <row r="420" spans="1:26" ht="12.75" customHeight="1">
      <c r="A420" s="70"/>
      <c r="B420" s="70"/>
      <c r="C420" s="70"/>
      <c r="D420" s="70"/>
      <c r="E420" s="70"/>
      <c r="F420" s="70"/>
      <c r="G420" s="70"/>
      <c r="H420" s="70"/>
      <c r="I420" s="70"/>
      <c r="J420" s="70"/>
      <c r="K420" s="71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</row>
    <row r="421" spans="1:26" ht="12.75" customHeight="1">
      <c r="A421" s="70"/>
      <c r="B421" s="70"/>
      <c r="C421" s="70"/>
      <c r="D421" s="70"/>
      <c r="E421" s="70"/>
      <c r="F421" s="70"/>
      <c r="G421" s="70"/>
      <c r="H421" s="70"/>
      <c r="I421" s="70"/>
      <c r="J421" s="70"/>
      <c r="K421" s="71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</row>
    <row r="422" spans="1:26" ht="12.75" customHeight="1">
      <c r="A422" s="70"/>
      <c r="B422" s="70"/>
      <c r="C422" s="70"/>
      <c r="D422" s="70"/>
      <c r="E422" s="70"/>
      <c r="F422" s="70"/>
      <c r="G422" s="70"/>
      <c r="H422" s="70"/>
      <c r="I422" s="70"/>
      <c r="J422" s="70"/>
      <c r="K422" s="71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</row>
    <row r="423" spans="1:26" ht="12.75" customHeight="1">
      <c r="A423" s="70"/>
      <c r="B423" s="70"/>
      <c r="C423" s="70"/>
      <c r="D423" s="70"/>
      <c r="E423" s="70"/>
      <c r="F423" s="70"/>
      <c r="G423" s="70"/>
      <c r="H423" s="70"/>
      <c r="I423" s="70"/>
      <c r="J423" s="70"/>
      <c r="K423" s="71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</row>
    <row r="424" spans="1:26" ht="12.75" customHeight="1">
      <c r="A424" s="70"/>
      <c r="B424" s="70"/>
      <c r="C424" s="70"/>
      <c r="D424" s="70"/>
      <c r="E424" s="70"/>
      <c r="F424" s="70"/>
      <c r="G424" s="70"/>
      <c r="H424" s="70"/>
      <c r="I424" s="70"/>
      <c r="J424" s="70"/>
      <c r="K424" s="71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</row>
    <row r="425" spans="1:26" ht="12.75" customHeight="1">
      <c r="A425" s="70"/>
      <c r="B425" s="70"/>
      <c r="C425" s="70"/>
      <c r="D425" s="70"/>
      <c r="E425" s="70"/>
      <c r="F425" s="70"/>
      <c r="G425" s="70"/>
      <c r="H425" s="70"/>
      <c r="I425" s="70"/>
      <c r="J425" s="70"/>
      <c r="K425" s="71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</row>
    <row r="426" spans="1:26" ht="12.75" customHeight="1">
      <c r="A426" s="70"/>
      <c r="B426" s="70"/>
      <c r="C426" s="70"/>
      <c r="D426" s="70"/>
      <c r="E426" s="70"/>
      <c r="F426" s="70"/>
      <c r="G426" s="70"/>
      <c r="H426" s="70"/>
      <c r="I426" s="70"/>
      <c r="J426" s="70"/>
      <c r="K426" s="71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</row>
    <row r="427" spans="1:26" ht="12.75" customHeight="1">
      <c r="A427" s="70"/>
      <c r="B427" s="70"/>
      <c r="C427" s="70"/>
      <c r="D427" s="70"/>
      <c r="E427" s="70"/>
      <c r="F427" s="70"/>
      <c r="G427" s="70"/>
      <c r="H427" s="70"/>
      <c r="I427" s="70"/>
      <c r="J427" s="70"/>
      <c r="K427" s="71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</row>
    <row r="428" spans="1:26" ht="12.75" customHeight="1">
      <c r="A428" s="70"/>
      <c r="B428" s="70"/>
      <c r="C428" s="70"/>
      <c r="D428" s="70"/>
      <c r="E428" s="70"/>
      <c r="F428" s="70"/>
      <c r="G428" s="70"/>
      <c r="H428" s="70"/>
      <c r="I428" s="70"/>
      <c r="J428" s="70"/>
      <c r="K428" s="71"/>
      <c r="L428" s="70"/>
      <c r="M428" s="70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</row>
    <row r="429" spans="1:26" ht="12.75" customHeight="1">
      <c r="A429" s="70"/>
      <c r="B429" s="70"/>
      <c r="C429" s="70"/>
      <c r="D429" s="70"/>
      <c r="E429" s="70"/>
      <c r="F429" s="70"/>
      <c r="G429" s="70"/>
      <c r="H429" s="70"/>
      <c r="I429" s="70"/>
      <c r="J429" s="70"/>
      <c r="K429" s="71"/>
      <c r="L429" s="70"/>
      <c r="M429" s="70"/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/>
      <c r="Y429" s="70"/>
      <c r="Z429" s="70"/>
    </row>
    <row r="430" spans="1:26" ht="12.75" customHeight="1">
      <c r="A430" s="70"/>
      <c r="B430" s="70"/>
      <c r="C430" s="70"/>
      <c r="D430" s="70"/>
      <c r="E430" s="70"/>
      <c r="F430" s="70"/>
      <c r="G430" s="70"/>
      <c r="H430" s="70"/>
      <c r="I430" s="70"/>
      <c r="J430" s="70"/>
      <c r="K430" s="71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</row>
    <row r="431" spans="1:26" ht="12.75" customHeight="1">
      <c r="A431" s="70"/>
      <c r="B431" s="70"/>
      <c r="C431" s="70"/>
      <c r="D431" s="70"/>
      <c r="E431" s="70"/>
      <c r="F431" s="70"/>
      <c r="G431" s="70"/>
      <c r="H431" s="70"/>
      <c r="I431" s="70"/>
      <c r="J431" s="70"/>
      <c r="K431" s="71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</row>
    <row r="432" spans="1:26" ht="12.75" customHeight="1">
      <c r="A432" s="70"/>
      <c r="B432" s="70"/>
      <c r="C432" s="70"/>
      <c r="D432" s="70"/>
      <c r="E432" s="70"/>
      <c r="F432" s="70"/>
      <c r="G432" s="70"/>
      <c r="H432" s="70"/>
      <c r="I432" s="70"/>
      <c r="J432" s="70"/>
      <c r="K432" s="71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</row>
    <row r="433" spans="1:26" ht="12.75" customHeight="1">
      <c r="A433" s="70"/>
      <c r="B433" s="70"/>
      <c r="C433" s="70"/>
      <c r="D433" s="70"/>
      <c r="E433" s="70"/>
      <c r="F433" s="70"/>
      <c r="G433" s="70"/>
      <c r="H433" s="70"/>
      <c r="I433" s="70"/>
      <c r="J433" s="70"/>
      <c r="K433" s="71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</row>
    <row r="434" spans="1:26" ht="12.75" customHeight="1">
      <c r="A434" s="70"/>
      <c r="B434" s="70"/>
      <c r="C434" s="70"/>
      <c r="D434" s="70"/>
      <c r="E434" s="70"/>
      <c r="F434" s="70"/>
      <c r="G434" s="70"/>
      <c r="H434" s="70"/>
      <c r="I434" s="70"/>
      <c r="J434" s="70"/>
      <c r="K434" s="71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</row>
    <row r="435" spans="1:26" ht="12.75" customHeight="1">
      <c r="A435" s="70"/>
      <c r="B435" s="70"/>
      <c r="C435" s="70"/>
      <c r="D435" s="70"/>
      <c r="E435" s="70"/>
      <c r="F435" s="70"/>
      <c r="G435" s="70"/>
      <c r="H435" s="70"/>
      <c r="I435" s="70"/>
      <c r="J435" s="70"/>
      <c r="K435" s="71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</row>
    <row r="436" spans="1:26" ht="12.75" customHeight="1">
      <c r="A436" s="70"/>
      <c r="B436" s="70"/>
      <c r="C436" s="70"/>
      <c r="D436" s="70"/>
      <c r="E436" s="70"/>
      <c r="F436" s="70"/>
      <c r="G436" s="70"/>
      <c r="H436" s="70"/>
      <c r="I436" s="70"/>
      <c r="J436" s="70"/>
      <c r="K436" s="71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</row>
    <row r="437" spans="1:26" ht="12.75" customHeight="1">
      <c r="A437" s="70"/>
      <c r="B437" s="70"/>
      <c r="C437" s="70"/>
      <c r="D437" s="70"/>
      <c r="E437" s="70"/>
      <c r="F437" s="70"/>
      <c r="G437" s="70"/>
      <c r="H437" s="70"/>
      <c r="I437" s="70"/>
      <c r="J437" s="70"/>
      <c r="K437" s="71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</row>
    <row r="438" spans="1:26" ht="12.75" customHeight="1">
      <c r="A438" s="70"/>
      <c r="B438" s="70"/>
      <c r="C438" s="70"/>
      <c r="D438" s="70"/>
      <c r="E438" s="70"/>
      <c r="F438" s="70"/>
      <c r="G438" s="70"/>
      <c r="H438" s="70"/>
      <c r="I438" s="70"/>
      <c r="J438" s="70"/>
      <c r="K438" s="71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</row>
    <row r="439" spans="1:26" ht="12.75" customHeight="1">
      <c r="A439" s="70"/>
      <c r="B439" s="70"/>
      <c r="C439" s="70"/>
      <c r="D439" s="70"/>
      <c r="E439" s="70"/>
      <c r="F439" s="70"/>
      <c r="G439" s="70"/>
      <c r="H439" s="70"/>
      <c r="I439" s="70"/>
      <c r="J439" s="70"/>
      <c r="K439" s="71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</row>
    <row r="440" spans="1:26" ht="12.75" customHeight="1">
      <c r="A440" s="70"/>
      <c r="B440" s="70"/>
      <c r="C440" s="70"/>
      <c r="D440" s="70"/>
      <c r="E440" s="70"/>
      <c r="F440" s="70"/>
      <c r="G440" s="70"/>
      <c r="H440" s="70"/>
      <c r="I440" s="70"/>
      <c r="J440" s="70"/>
      <c r="K440" s="71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</row>
    <row r="441" spans="1:26" ht="12.75" customHeight="1">
      <c r="A441" s="70"/>
      <c r="B441" s="70"/>
      <c r="C441" s="70"/>
      <c r="D441" s="70"/>
      <c r="E441" s="70"/>
      <c r="F441" s="70"/>
      <c r="G441" s="70"/>
      <c r="H441" s="70"/>
      <c r="I441" s="70"/>
      <c r="J441" s="70"/>
      <c r="K441" s="71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</row>
    <row r="442" spans="1:26" ht="12.75" customHeight="1">
      <c r="A442" s="70"/>
      <c r="B442" s="70"/>
      <c r="C442" s="70"/>
      <c r="D442" s="70"/>
      <c r="E442" s="70"/>
      <c r="F442" s="70"/>
      <c r="G442" s="70"/>
      <c r="H442" s="70"/>
      <c r="I442" s="70"/>
      <c r="J442" s="70"/>
      <c r="K442" s="71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</row>
    <row r="443" spans="1:26" ht="12.75" customHeight="1">
      <c r="A443" s="70"/>
      <c r="B443" s="70"/>
      <c r="C443" s="70"/>
      <c r="D443" s="70"/>
      <c r="E443" s="70"/>
      <c r="F443" s="70"/>
      <c r="G443" s="70"/>
      <c r="H443" s="70"/>
      <c r="I443" s="70"/>
      <c r="J443" s="70"/>
      <c r="K443" s="71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</row>
    <row r="444" spans="1:26" ht="12.75" customHeight="1">
      <c r="A444" s="70"/>
      <c r="B444" s="70"/>
      <c r="C444" s="70"/>
      <c r="D444" s="70"/>
      <c r="E444" s="70"/>
      <c r="F444" s="70"/>
      <c r="G444" s="70"/>
      <c r="H444" s="70"/>
      <c r="I444" s="70"/>
      <c r="J444" s="70"/>
      <c r="K444" s="71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</row>
    <row r="445" spans="1:26" ht="12.75" customHeight="1">
      <c r="A445" s="70"/>
      <c r="B445" s="70"/>
      <c r="C445" s="70"/>
      <c r="D445" s="70"/>
      <c r="E445" s="70"/>
      <c r="F445" s="70"/>
      <c r="G445" s="70"/>
      <c r="H445" s="70"/>
      <c r="I445" s="70"/>
      <c r="J445" s="70"/>
      <c r="K445" s="71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</row>
    <row r="446" spans="1:26" ht="12.75" customHeight="1">
      <c r="A446" s="70"/>
      <c r="B446" s="70"/>
      <c r="C446" s="70"/>
      <c r="D446" s="70"/>
      <c r="E446" s="70"/>
      <c r="F446" s="70"/>
      <c r="G446" s="70"/>
      <c r="H446" s="70"/>
      <c r="I446" s="70"/>
      <c r="J446" s="70"/>
      <c r="K446" s="71"/>
      <c r="L446" s="70"/>
      <c r="M446" s="70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</row>
    <row r="447" spans="1:26" ht="12.75" customHeight="1">
      <c r="A447" s="70"/>
      <c r="B447" s="70"/>
      <c r="C447" s="70"/>
      <c r="D447" s="70"/>
      <c r="E447" s="70"/>
      <c r="F447" s="70"/>
      <c r="G447" s="70"/>
      <c r="H447" s="70"/>
      <c r="I447" s="70"/>
      <c r="J447" s="70"/>
      <c r="K447" s="71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</row>
    <row r="448" spans="1:26" ht="12.75" customHeight="1">
      <c r="A448" s="70"/>
      <c r="B448" s="70"/>
      <c r="C448" s="70"/>
      <c r="D448" s="70"/>
      <c r="E448" s="70"/>
      <c r="F448" s="70"/>
      <c r="G448" s="70"/>
      <c r="H448" s="70"/>
      <c r="I448" s="70"/>
      <c r="J448" s="70"/>
      <c r="K448" s="71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</row>
    <row r="449" spans="1:26" ht="12.75" customHeight="1">
      <c r="A449" s="70"/>
      <c r="B449" s="70"/>
      <c r="C449" s="70"/>
      <c r="D449" s="70"/>
      <c r="E449" s="70"/>
      <c r="F449" s="70"/>
      <c r="G449" s="70"/>
      <c r="H449" s="70"/>
      <c r="I449" s="70"/>
      <c r="J449" s="70"/>
      <c r="K449" s="71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</row>
    <row r="450" spans="1:26" ht="12.75" customHeight="1">
      <c r="A450" s="70"/>
      <c r="B450" s="70"/>
      <c r="C450" s="70"/>
      <c r="D450" s="70"/>
      <c r="E450" s="70"/>
      <c r="F450" s="70"/>
      <c r="G450" s="70"/>
      <c r="H450" s="70"/>
      <c r="I450" s="70"/>
      <c r="J450" s="70"/>
      <c r="K450" s="71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</row>
    <row r="451" spans="1:26" ht="12.75" customHeight="1">
      <c r="A451" s="70"/>
      <c r="B451" s="70"/>
      <c r="C451" s="70"/>
      <c r="D451" s="70"/>
      <c r="E451" s="70"/>
      <c r="F451" s="70"/>
      <c r="G451" s="70"/>
      <c r="H451" s="70"/>
      <c r="I451" s="70"/>
      <c r="J451" s="70"/>
      <c r="K451" s="71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</row>
    <row r="452" spans="1:26" ht="12.75" customHeight="1">
      <c r="A452" s="70"/>
      <c r="B452" s="70"/>
      <c r="C452" s="70"/>
      <c r="D452" s="70"/>
      <c r="E452" s="70"/>
      <c r="F452" s="70"/>
      <c r="G452" s="70"/>
      <c r="H452" s="70"/>
      <c r="I452" s="70"/>
      <c r="J452" s="70"/>
      <c r="K452" s="71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</row>
    <row r="453" spans="1:26" ht="12.75" customHeight="1">
      <c r="A453" s="70"/>
      <c r="B453" s="70"/>
      <c r="C453" s="70"/>
      <c r="D453" s="70"/>
      <c r="E453" s="70"/>
      <c r="F453" s="70"/>
      <c r="G453" s="70"/>
      <c r="H453" s="70"/>
      <c r="I453" s="70"/>
      <c r="J453" s="70"/>
      <c r="K453" s="71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</row>
    <row r="454" spans="1:26" ht="12.75" customHeight="1">
      <c r="A454" s="70"/>
      <c r="B454" s="70"/>
      <c r="C454" s="70"/>
      <c r="D454" s="70"/>
      <c r="E454" s="70"/>
      <c r="F454" s="70"/>
      <c r="G454" s="70"/>
      <c r="H454" s="70"/>
      <c r="I454" s="70"/>
      <c r="J454" s="70"/>
      <c r="K454" s="71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</row>
    <row r="455" spans="1:26" ht="12.75" customHeight="1">
      <c r="A455" s="70"/>
      <c r="B455" s="70"/>
      <c r="C455" s="70"/>
      <c r="D455" s="70"/>
      <c r="E455" s="70"/>
      <c r="F455" s="70"/>
      <c r="G455" s="70"/>
      <c r="H455" s="70"/>
      <c r="I455" s="70"/>
      <c r="J455" s="70"/>
      <c r="K455" s="71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</row>
    <row r="456" spans="1:26" ht="12.75" customHeight="1">
      <c r="A456" s="70"/>
      <c r="B456" s="70"/>
      <c r="C456" s="70"/>
      <c r="D456" s="70"/>
      <c r="E456" s="70"/>
      <c r="F456" s="70"/>
      <c r="G456" s="70"/>
      <c r="H456" s="70"/>
      <c r="I456" s="70"/>
      <c r="J456" s="70"/>
      <c r="K456" s="71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</row>
    <row r="457" spans="1:26" ht="12.75" customHeight="1">
      <c r="A457" s="70"/>
      <c r="B457" s="70"/>
      <c r="C457" s="70"/>
      <c r="D457" s="70"/>
      <c r="E457" s="70"/>
      <c r="F457" s="70"/>
      <c r="G457" s="70"/>
      <c r="H457" s="70"/>
      <c r="I457" s="70"/>
      <c r="J457" s="70"/>
      <c r="K457" s="71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</row>
    <row r="458" spans="1:26" ht="12.75" customHeight="1">
      <c r="A458" s="70"/>
      <c r="B458" s="70"/>
      <c r="C458" s="70"/>
      <c r="D458" s="70"/>
      <c r="E458" s="70"/>
      <c r="F458" s="70"/>
      <c r="G458" s="70"/>
      <c r="H458" s="70"/>
      <c r="I458" s="70"/>
      <c r="J458" s="70"/>
      <c r="K458" s="71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</row>
    <row r="459" spans="1:26" ht="12.75" customHeight="1">
      <c r="A459" s="70"/>
      <c r="B459" s="70"/>
      <c r="C459" s="70"/>
      <c r="D459" s="70"/>
      <c r="E459" s="70"/>
      <c r="F459" s="70"/>
      <c r="G459" s="70"/>
      <c r="H459" s="70"/>
      <c r="I459" s="70"/>
      <c r="J459" s="70"/>
      <c r="K459" s="71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</row>
    <row r="460" spans="1:26" ht="12.75" customHeight="1">
      <c r="A460" s="70"/>
      <c r="B460" s="70"/>
      <c r="C460" s="70"/>
      <c r="D460" s="70"/>
      <c r="E460" s="70"/>
      <c r="F460" s="70"/>
      <c r="G460" s="70"/>
      <c r="H460" s="70"/>
      <c r="I460" s="70"/>
      <c r="J460" s="70"/>
      <c r="K460" s="71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</row>
    <row r="461" spans="1:26" ht="12.75" customHeight="1">
      <c r="A461" s="70"/>
      <c r="B461" s="70"/>
      <c r="C461" s="70"/>
      <c r="D461" s="70"/>
      <c r="E461" s="70"/>
      <c r="F461" s="70"/>
      <c r="G461" s="70"/>
      <c r="H461" s="70"/>
      <c r="I461" s="70"/>
      <c r="J461" s="70"/>
      <c r="K461" s="71"/>
      <c r="L461" s="70"/>
      <c r="M461" s="70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</row>
    <row r="462" spans="1:26" ht="12.75" customHeight="1">
      <c r="A462" s="70"/>
      <c r="B462" s="70"/>
      <c r="C462" s="70"/>
      <c r="D462" s="70"/>
      <c r="E462" s="70"/>
      <c r="F462" s="70"/>
      <c r="G462" s="70"/>
      <c r="H462" s="70"/>
      <c r="I462" s="70"/>
      <c r="J462" s="70"/>
      <c r="K462" s="71"/>
      <c r="L462" s="70"/>
      <c r="M462" s="70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</row>
    <row r="463" spans="1:26" ht="12.75" customHeight="1">
      <c r="A463" s="70"/>
      <c r="B463" s="70"/>
      <c r="C463" s="70"/>
      <c r="D463" s="70"/>
      <c r="E463" s="70"/>
      <c r="F463" s="70"/>
      <c r="G463" s="70"/>
      <c r="H463" s="70"/>
      <c r="I463" s="70"/>
      <c r="J463" s="70"/>
      <c r="K463" s="71"/>
      <c r="L463" s="70"/>
      <c r="M463" s="70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</row>
    <row r="464" spans="1:26" ht="12.75" customHeight="1">
      <c r="A464" s="70"/>
      <c r="B464" s="70"/>
      <c r="C464" s="70"/>
      <c r="D464" s="70"/>
      <c r="E464" s="70"/>
      <c r="F464" s="70"/>
      <c r="G464" s="70"/>
      <c r="H464" s="70"/>
      <c r="I464" s="70"/>
      <c r="J464" s="70"/>
      <c r="K464" s="71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</row>
    <row r="465" spans="1:26" ht="12.75" customHeight="1">
      <c r="A465" s="70"/>
      <c r="B465" s="70"/>
      <c r="C465" s="70"/>
      <c r="D465" s="70"/>
      <c r="E465" s="70"/>
      <c r="F465" s="70"/>
      <c r="G465" s="70"/>
      <c r="H465" s="70"/>
      <c r="I465" s="70"/>
      <c r="J465" s="70"/>
      <c r="K465" s="71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</row>
    <row r="466" spans="1:26" ht="12.75" customHeight="1">
      <c r="A466" s="70"/>
      <c r="B466" s="70"/>
      <c r="C466" s="70"/>
      <c r="D466" s="70"/>
      <c r="E466" s="70"/>
      <c r="F466" s="70"/>
      <c r="G466" s="70"/>
      <c r="H466" s="70"/>
      <c r="I466" s="70"/>
      <c r="J466" s="70"/>
      <c r="K466" s="71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</row>
    <row r="467" spans="1:26" ht="12.75" customHeight="1">
      <c r="A467" s="70"/>
      <c r="B467" s="70"/>
      <c r="C467" s="70"/>
      <c r="D467" s="70"/>
      <c r="E467" s="70"/>
      <c r="F467" s="70"/>
      <c r="G467" s="70"/>
      <c r="H467" s="70"/>
      <c r="I467" s="70"/>
      <c r="J467" s="70"/>
      <c r="K467" s="71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</row>
    <row r="468" spans="1:26" ht="12.75" customHeight="1">
      <c r="A468" s="70"/>
      <c r="B468" s="70"/>
      <c r="C468" s="70"/>
      <c r="D468" s="70"/>
      <c r="E468" s="70"/>
      <c r="F468" s="70"/>
      <c r="G468" s="70"/>
      <c r="H468" s="70"/>
      <c r="I468" s="70"/>
      <c r="J468" s="70"/>
      <c r="K468" s="71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</row>
    <row r="469" spans="1:26" ht="12.75" customHeight="1">
      <c r="A469" s="70"/>
      <c r="B469" s="70"/>
      <c r="C469" s="70"/>
      <c r="D469" s="70"/>
      <c r="E469" s="70"/>
      <c r="F469" s="70"/>
      <c r="G469" s="70"/>
      <c r="H469" s="70"/>
      <c r="I469" s="70"/>
      <c r="J469" s="70"/>
      <c r="K469" s="71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</row>
    <row r="470" spans="1:26" ht="12.75" customHeight="1">
      <c r="A470" s="70"/>
      <c r="B470" s="70"/>
      <c r="C470" s="70"/>
      <c r="D470" s="70"/>
      <c r="E470" s="70"/>
      <c r="F470" s="70"/>
      <c r="G470" s="70"/>
      <c r="H470" s="70"/>
      <c r="I470" s="70"/>
      <c r="J470" s="70"/>
      <c r="K470" s="71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</row>
    <row r="471" spans="1:26" ht="12.75" customHeight="1">
      <c r="A471" s="70"/>
      <c r="B471" s="70"/>
      <c r="C471" s="70"/>
      <c r="D471" s="70"/>
      <c r="E471" s="70"/>
      <c r="F471" s="70"/>
      <c r="G471" s="70"/>
      <c r="H471" s="70"/>
      <c r="I471" s="70"/>
      <c r="J471" s="70"/>
      <c r="K471" s="71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</row>
    <row r="472" spans="1:26" ht="12.75" customHeight="1">
      <c r="A472" s="70"/>
      <c r="B472" s="70"/>
      <c r="C472" s="70"/>
      <c r="D472" s="70"/>
      <c r="E472" s="70"/>
      <c r="F472" s="70"/>
      <c r="G472" s="70"/>
      <c r="H472" s="70"/>
      <c r="I472" s="70"/>
      <c r="J472" s="70"/>
      <c r="K472" s="71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</row>
    <row r="473" spans="1:26" ht="12.75" customHeight="1">
      <c r="A473" s="70"/>
      <c r="B473" s="70"/>
      <c r="C473" s="70"/>
      <c r="D473" s="70"/>
      <c r="E473" s="70"/>
      <c r="F473" s="70"/>
      <c r="G473" s="70"/>
      <c r="H473" s="70"/>
      <c r="I473" s="70"/>
      <c r="J473" s="70"/>
      <c r="K473" s="71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</row>
    <row r="474" spans="1:26" ht="12.75" customHeight="1">
      <c r="A474" s="70"/>
      <c r="B474" s="70"/>
      <c r="C474" s="70"/>
      <c r="D474" s="70"/>
      <c r="E474" s="70"/>
      <c r="F474" s="70"/>
      <c r="G474" s="70"/>
      <c r="H474" s="70"/>
      <c r="I474" s="70"/>
      <c r="J474" s="70"/>
      <c r="K474" s="71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</row>
    <row r="475" spans="1:26" ht="12.75" customHeight="1">
      <c r="A475" s="70"/>
      <c r="B475" s="70"/>
      <c r="C475" s="70"/>
      <c r="D475" s="70"/>
      <c r="E475" s="70"/>
      <c r="F475" s="70"/>
      <c r="G475" s="70"/>
      <c r="H475" s="70"/>
      <c r="I475" s="70"/>
      <c r="J475" s="70"/>
      <c r="K475" s="71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</row>
    <row r="476" spans="1:26" ht="12.75" customHeight="1">
      <c r="A476" s="70"/>
      <c r="B476" s="70"/>
      <c r="C476" s="70"/>
      <c r="D476" s="70"/>
      <c r="E476" s="70"/>
      <c r="F476" s="70"/>
      <c r="G476" s="70"/>
      <c r="H476" s="70"/>
      <c r="I476" s="70"/>
      <c r="J476" s="70"/>
      <c r="K476" s="71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</row>
    <row r="477" spans="1:26" ht="12.75" customHeight="1">
      <c r="A477" s="70"/>
      <c r="B477" s="70"/>
      <c r="C477" s="70"/>
      <c r="D477" s="70"/>
      <c r="E477" s="70"/>
      <c r="F477" s="70"/>
      <c r="G477" s="70"/>
      <c r="H477" s="70"/>
      <c r="I477" s="70"/>
      <c r="J477" s="70"/>
      <c r="K477" s="71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</row>
    <row r="478" spans="1:26" ht="12.75" customHeight="1">
      <c r="A478" s="70"/>
      <c r="B478" s="70"/>
      <c r="C478" s="70"/>
      <c r="D478" s="70"/>
      <c r="E478" s="70"/>
      <c r="F478" s="70"/>
      <c r="G478" s="70"/>
      <c r="H478" s="70"/>
      <c r="I478" s="70"/>
      <c r="J478" s="70"/>
      <c r="K478" s="71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</row>
    <row r="479" spans="1:26" ht="12.75" customHeight="1">
      <c r="A479" s="70"/>
      <c r="B479" s="70"/>
      <c r="C479" s="70"/>
      <c r="D479" s="70"/>
      <c r="E479" s="70"/>
      <c r="F479" s="70"/>
      <c r="G479" s="70"/>
      <c r="H479" s="70"/>
      <c r="I479" s="70"/>
      <c r="J479" s="70"/>
      <c r="K479" s="71"/>
      <c r="L479" s="70"/>
      <c r="M479" s="70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/>
      <c r="Y479" s="70"/>
      <c r="Z479" s="70"/>
    </row>
    <row r="480" spans="1:26" ht="12.75" customHeight="1">
      <c r="A480" s="70"/>
      <c r="B480" s="70"/>
      <c r="C480" s="70"/>
      <c r="D480" s="70"/>
      <c r="E480" s="70"/>
      <c r="F480" s="70"/>
      <c r="G480" s="70"/>
      <c r="H480" s="70"/>
      <c r="I480" s="70"/>
      <c r="J480" s="70"/>
      <c r="K480" s="71"/>
      <c r="L480" s="70"/>
      <c r="M480" s="70"/>
      <c r="N480" s="70"/>
      <c r="O480" s="70"/>
      <c r="P480" s="70"/>
      <c r="Q480" s="70"/>
      <c r="R480" s="70"/>
      <c r="S480" s="70"/>
      <c r="T480" s="70"/>
      <c r="U480" s="70"/>
      <c r="V480" s="70"/>
      <c r="W480" s="70"/>
      <c r="X480" s="70"/>
      <c r="Y480" s="70"/>
      <c r="Z480" s="70"/>
    </row>
    <row r="481" spans="1:26" ht="12.75" customHeight="1">
      <c r="A481" s="70"/>
      <c r="B481" s="70"/>
      <c r="C481" s="70"/>
      <c r="D481" s="70"/>
      <c r="E481" s="70"/>
      <c r="F481" s="70"/>
      <c r="G481" s="70"/>
      <c r="H481" s="70"/>
      <c r="I481" s="70"/>
      <c r="J481" s="70"/>
      <c r="K481" s="71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</row>
    <row r="482" spans="1:26" ht="12.75" customHeight="1">
      <c r="A482" s="70"/>
      <c r="B482" s="70"/>
      <c r="C482" s="70"/>
      <c r="D482" s="70"/>
      <c r="E482" s="70"/>
      <c r="F482" s="70"/>
      <c r="G482" s="70"/>
      <c r="H482" s="70"/>
      <c r="I482" s="70"/>
      <c r="J482" s="70"/>
      <c r="K482" s="71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</row>
    <row r="483" spans="1:26" ht="12.75" customHeight="1">
      <c r="A483" s="70"/>
      <c r="B483" s="70"/>
      <c r="C483" s="70"/>
      <c r="D483" s="70"/>
      <c r="E483" s="70"/>
      <c r="F483" s="70"/>
      <c r="G483" s="70"/>
      <c r="H483" s="70"/>
      <c r="I483" s="70"/>
      <c r="J483" s="70"/>
      <c r="K483" s="71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</row>
    <row r="484" spans="1:26" ht="12.75" customHeight="1">
      <c r="A484" s="70"/>
      <c r="B484" s="70"/>
      <c r="C484" s="70"/>
      <c r="D484" s="70"/>
      <c r="E484" s="70"/>
      <c r="F484" s="70"/>
      <c r="G484" s="70"/>
      <c r="H484" s="70"/>
      <c r="I484" s="70"/>
      <c r="J484" s="70"/>
      <c r="K484" s="71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</row>
    <row r="485" spans="1:26" ht="12.75" customHeight="1">
      <c r="A485" s="70"/>
      <c r="B485" s="70"/>
      <c r="C485" s="70"/>
      <c r="D485" s="70"/>
      <c r="E485" s="70"/>
      <c r="F485" s="70"/>
      <c r="G485" s="70"/>
      <c r="H485" s="70"/>
      <c r="I485" s="70"/>
      <c r="J485" s="70"/>
      <c r="K485" s="71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</row>
    <row r="486" spans="1:26" ht="12.75" customHeight="1">
      <c r="A486" s="70"/>
      <c r="B486" s="70"/>
      <c r="C486" s="70"/>
      <c r="D486" s="70"/>
      <c r="E486" s="70"/>
      <c r="F486" s="70"/>
      <c r="G486" s="70"/>
      <c r="H486" s="70"/>
      <c r="I486" s="70"/>
      <c r="J486" s="70"/>
      <c r="K486" s="71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</row>
    <row r="487" spans="1:26" ht="12.75" customHeight="1">
      <c r="A487" s="70"/>
      <c r="B487" s="70"/>
      <c r="C487" s="70"/>
      <c r="D487" s="70"/>
      <c r="E487" s="70"/>
      <c r="F487" s="70"/>
      <c r="G487" s="70"/>
      <c r="H487" s="70"/>
      <c r="I487" s="70"/>
      <c r="J487" s="70"/>
      <c r="K487" s="71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</row>
    <row r="488" spans="1:26" ht="12.75" customHeight="1">
      <c r="A488" s="70"/>
      <c r="B488" s="70"/>
      <c r="C488" s="70"/>
      <c r="D488" s="70"/>
      <c r="E488" s="70"/>
      <c r="F488" s="70"/>
      <c r="G488" s="70"/>
      <c r="H488" s="70"/>
      <c r="I488" s="70"/>
      <c r="J488" s="70"/>
      <c r="K488" s="71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</row>
    <row r="489" spans="1:26" ht="12.75" customHeight="1">
      <c r="A489" s="70"/>
      <c r="B489" s="70"/>
      <c r="C489" s="70"/>
      <c r="D489" s="70"/>
      <c r="E489" s="70"/>
      <c r="F489" s="70"/>
      <c r="G489" s="70"/>
      <c r="H489" s="70"/>
      <c r="I489" s="70"/>
      <c r="J489" s="70"/>
      <c r="K489" s="71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</row>
    <row r="490" spans="1:26" ht="12.75" customHeight="1">
      <c r="A490" s="70"/>
      <c r="B490" s="70"/>
      <c r="C490" s="70"/>
      <c r="D490" s="70"/>
      <c r="E490" s="70"/>
      <c r="F490" s="70"/>
      <c r="G490" s="70"/>
      <c r="H490" s="70"/>
      <c r="I490" s="70"/>
      <c r="J490" s="70"/>
      <c r="K490" s="71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</row>
    <row r="491" spans="1:26" ht="12.75" customHeight="1">
      <c r="A491" s="70"/>
      <c r="B491" s="70"/>
      <c r="C491" s="70"/>
      <c r="D491" s="70"/>
      <c r="E491" s="70"/>
      <c r="F491" s="70"/>
      <c r="G491" s="70"/>
      <c r="H491" s="70"/>
      <c r="I491" s="70"/>
      <c r="J491" s="70"/>
      <c r="K491" s="71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</row>
    <row r="492" spans="1:26" ht="12.75" customHeight="1">
      <c r="A492" s="70"/>
      <c r="B492" s="70"/>
      <c r="C492" s="70"/>
      <c r="D492" s="70"/>
      <c r="E492" s="70"/>
      <c r="F492" s="70"/>
      <c r="G492" s="70"/>
      <c r="H492" s="70"/>
      <c r="I492" s="70"/>
      <c r="J492" s="70"/>
      <c r="K492" s="71"/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</row>
    <row r="493" spans="1:26" ht="12.75" customHeight="1">
      <c r="A493" s="70"/>
      <c r="B493" s="70"/>
      <c r="C493" s="70"/>
      <c r="D493" s="70"/>
      <c r="E493" s="70"/>
      <c r="F493" s="70"/>
      <c r="G493" s="70"/>
      <c r="H493" s="70"/>
      <c r="I493" s="70"/>
      <c r="J493" s="70"/>
      <c r="K493" s="71"/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</row>
    <row r="494" spans="1:26" ht="12.75" customHeight="1">
      <c r="A494" s="70"/>
      <c r="B494" s="70"/>
      <c r="C494" s="70"/>
      <c r="D494" s="70"/>
      <c r="E494" s="70"/>
      <c r="F494" s="70"/>
      <c r="G494" s="70"/>
      <c r="H494" s="70"/>
      <c r="I494" s="70"/>
      <c r="J494" s="70"/>
      <c r="K494" s="71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</row>
    <row r="495" spans="1:26" ht="12.75" customHeight="1">
      <c r="A495" s="70"/>
      <c r="B495" s="70"/>
      <c r="C495" s="70"/>
      <c r="D495" s="70"/>
      <c r="E495" s="70"/>
      <c r="F495" s="70"/>
      <c r="G495" s="70"/>
      <c r="H495" s="70"/>
      <c r="I495" s="70"/>
      <c r="J495" s="70"/>
      <c r="K495" s="71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</row>
    <row r="496" spans="1:26" ht="12.75" customHeight="1">
      <c r="A496" s="70"/>
      <c r="B496" s="70"/>
      <c r="C496" s="70"/>
      <c r="D496" s="70"/>
      <c r="E496" s="70"/>
      <c r="F496" s="70"/>
      <c r="G496" s="70"/>
      <c r="H496" s="70"/>
      <c r="I496" s="70"/>
      <c r="J496" s="70"/>
      <c r="K496" s="71"/>
      <c r="L496" s="70"/>
      <c r="M496" s="70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</row>
    <row r="497" spans="1:26" ht="12.75" customHeight="1">
      <c r="A497" s="70"/>
      <c r="B497" s="70"/>
      <c r="C497" s="70"/>
      <c r="D497" s="70"/>
      <c r="E497" s="70"/>
      <c r="F497" s="70"/>
      <c r="G497" s="70"/>
      <c r="H497" s="70"/>
      <c r="I497" s="70"/>
      <c r="J497" s="70"/>
      <c r="K497" s="71"/>
      <c r="L497" s="70"/>
      <c r="M497" s="70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/>
      <c r="Y497" s="70"/>
      <c r="Z497" s="70"/>
    </row>
    <row r="498" spans="1:26" ht="12.75" customHeight="1">
      <c r="A498" s="70"/>
      <c r="B498" s="70"/>
      <c r="C498" s="70"/>
      <c r="D498" s="70"/>
      <c r="E498" s="70"/>
      <c r="F498" s="70"/>
      <c r="G498" s="70"/>
      <c r="H498" s="70"/>
      <c r="I498" s="70"/>
      <c r="J498" s="70"/>
      <c r="K498" s="71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</row>
    <row r="499" spans="1:26" ht="12.75" customHeight="1">
      <c r="A499" s="70"/>
      <c r="B499" s="70"/>
      <c r="C499" s="70"/>
      <c r="D499" s="70"/>
      <c r="E499" s="70"/>
      <c r="F499" s="70"/>
      <c r="G499" s="70"/>
      <c r="H499" s="70"/>
      <c r="I499" s="70"/>
      <c r="J499" s="70"/>
      <c r="K499" s="71"/>
      <c r="L499" s="70"/>
      <c r="M499" s="70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</row>
    <row r="500" spans="1:26" ht="12.75" customHeight="1">
      <c r="A500" s="70"/>
      <c r="B500" s="70"/>
      <c r="C500" s="70"/>
      <c r="D500" s="70"/>
      <c r="E500" s="70"/>
      <c r="F500" s="70"/>
      <c r="G500" s="70"/>
      <c r="H500" s="70"/>
      <c r="I500" s="70"/>
      <c r="J500" s="70"/>
      <c r="K500" s="71"/>
      <c r="L500" s="70"/>
      <c r="M500" s="70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</row>
    <row r="501" spans="1:26" ht="12.75" customHeight="1">
      <c r="A501" s="70"/>
      <c r="B501" s="70"/>
      <c r="C501" s="70"/>
      <c r="D501" s="70"/>
      <c r="E501" s="70"/>
      <c r="F501" s="70"/>
      <c r="G501" s="70"/>
      <c r="H501" s="70"/>
      <c r="I501" s="70"/>
      <c r="J501" s="70"/>
      <c r="K501" s="71"/>
      <c r="L501" s="70"/>
      <c r="M501" s="70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</row>
    <row r="502" spans="1:26" ht="12.75" customHeight="1">
      <c r="A502" s="70"/>
      <c r="B502" s="70"/>
      <c r="C502" s="70"/>
      <c r="D502" s="70"/>
      <c r="E502" s="70"/>
      <c r="F502" s="70"/>
      <c r="G502" s="70"/>
      <c r="H502" s="70"/>
      <c r="I502" s="70"/>
      <c r="J502" s="70"/>
      <c r="K502" s="71"/>
      <c r="L502" s="70"/>
      <c r="M502" s="70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</row>
    <row r="503" spans="1:26" ht="12.75" customHeight="1">
      <c r="A503" s="70"/>
      <c r="B503" s="70"/>
      <c r="C503" s="70"/>
      <c r="D503" s="70"/>
      <c r="E503" s="70"/>
      <c r="F503" s="70"/>
      <c r="G503" s="70"/>
      <c r="H503" s="70"/>
      <c r="I503" s="70"/>
      <c r="J503" s="70"/>
      <c r="K503" s="71"/>
      <c r="L503" s="70"/>
      <c r="M503" s="70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</row>
    <row r="504" spans="1:26" ht="12.75" customHeight="1">
      <c r="A504" s="70"/>
      <c r="B504" s="70"/>
      <c r="C504" s="70"/>
      <c r="D504" s="70"/>
      <c r="E504" s="70"/>
      <c r="F504" s="70"/>
      <c r="G504" s="70"/>
      <c r="H504" s="70"/>
      <c r="I504" s="70"/>
      <c r="J504" s="70"/>
      <c r="K504" s="71"/>
      <c r="L504" s="70"/>
      <c r="M504" s="70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</row>
    <row r="505" spans="1:26" ht="12.75" customHeight="1">
      <c r="A505" s="70"/>
      <c r="B505" s="70"/>
      <c r="C505" s="70"/>
      <c r="D505" s="70"/>
      <c r="E505" s="70"/>
      <c r="F505" s="70"/>
      <c r="G505" s="70"/>
      <c r="H505" s="70"/>
      <c r="I505" s="70"/>
      <c r="J505" s="70"/>
      <c r="K505" s="71"/>
      <c r="L505" s="70"/>
      <c r="M505" s="70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</row>
    <row r="506" spans="1:26" ht="12.75" customHeight="1">
      <c r="A506" s="70"/>
      <c r="B506" s="70"/>
      <c r="C506" s="70"/>
      <c r="D506" s="70"/>
      <c r="E506" s="70"/>
      <c r="F506" s="70"/>
      <c r="G506" s="70"/>
      <c r="H506" s="70"/>
      <c r="I506" s="70"/>
      <c r="J506" s="70"/>
      <c r="K506" s="71"/>
      <c r="L506" s="70"/>
      <c r="M506" s="70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</row>
    <row r="507" spans="1:26" ht="12.75" customHeight="1">
      <c r="A507" s="70"/>
      <c r="B507" s="70"/>
      <c r="C507" s="70"/>
      <c r="D507" s="70"/>
      <c r="E507" s="70"/>
      <c r="F507" s="70"/>
      <c r="G507" s="70"/>
      <c r="H507" s="70"/>
      <c r="I507" s="70"/>
      <c r="J507" s="70"/>
      <c r="K507" s="71"/>
      <c r="L507" s="70"/>
      <c r="M507" s="70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</row>
    <row r="508" spans="1:26" ht="12.75" customHeight="1">
      <c r="A508" s="70"/>
      <c r="B508" s="70"/>
      <c r="C508" s="70"/>
      <c r="D508" s="70"/>
      <c r="E508" s="70"/>
      <c r="F508" s="70"/>
      <c r="G508" s="70"/>
      <c r="H508" s="70"/>
      <c r="I508" s="70"/>
      <c r="J508" s="70"/>
      <c r="K508" s="71"/>
      <c r="L508" s="70"/>
      <c r="M508" s="70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</row>
    <row r="509" spans="1:26" ht="12.75" customHeight="1">
      <c r="A509" s="70"/>
      <c r="B509" s="70"/>
      <c r="C509" s="70"/>
      <c r="D509" s="70"/>
      <c r="E509" s="70"/>
      <c r="F509" s="70"/>
      <c r="G509" s="70"/>
      <c r="H509" s="70"/>
      <c r="I509" s="70"/>
      <c r="J509" s="70"/>
      <c r="K509" s="71"/>
      <c r="L509" s="70"/>
      <c r="M509" s="70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</row>
    <row r="510" spans="1:26" ht="12.75" customHeight="1">
      <c r="A510" s="70"/>
      <c r="B510" s="70"/>
      <c r="C510" s="70"/>
      <c r="D510" s="70"/>
      <c r="E510" s="70"/>
      <c r="F510" s="70"/>
      <c r="G510" s="70"/>
      <c r="H510" s="70"/>
      <c r="I510" s="70"/>
      <c r="J510" s="70"/>
      <c r="K510" s="71"/>
      <c r="L510" s="70"/>
      <c r="M510" s="70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/>
      <c r="Y510" s="70"/>
      <c r="Z510" s="70"/>
    </row>
    <row r="511" spans="1:26" ht="12.75" customHeight="1">
      <c r="A511" s="70"/>
      <c r="B511" s="70"/>
      <c r="C511" s="70"/>
      <c r="D511" s="70"/>
      <c r="E511" s="70"/>
      <c r="F511" s="70"/>
      <c r="G511" s="70"/>
      <c r="H511" s="70"/>
      <c r="I511" s="70"/>
      <c r="J511" s="70"/>
      <c r="K511" s="71"/>
      <c r="L511" s="70"/>
      <c r="M511" s="70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</row>
    <row r="512" spans="1:26" ht="12.75" customHeight="1">
      <c r="A512" s="70"/>
      <c r="B512" s="70"/>
      <c r="C512" s="70"/>
      <c r="D512" s="70"/>
      <c r="E512" s="70"/>
      <c r="F512" s="70"/>
      <c r="G512" s="70"/>
      <c r="H512" s="70"/>
      <c r="I512" s="70"/>
      <c r="J512" s="70"/>
      <c r="K512" s="71"/>
      <c r="L512" s="70"/>
      <c r="M512" s="70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</row>
    <row r="513" spans="1:26" ht="12.75" customHeight="1">
      <c r="A513" s="70"/>
      <c r="B513" s="70"/>
      <c r="C513" s="70"/>
      <c r="D513" s="70"/>
      <c r="E513" s="70"/>
      <c r="F513" s="70"/>
      <c r="G513" s="70"/>
      <c r="H513" s="70"/>
      <c r="I513" s="70"/>
      <c r="J513" s="70"/>
      <c r="K513" s="71"/>
      <c r="L513" s="70"/>
      <c r="M513" s="70"/>
      <c r="N513" s="70"/>
      <c r="O513" s="70"/>
      <c r="P513" s="70"/>
      <c r="Q513" s="70"/>
      <c r="R513" s="70"/>
      <c r="S513" s="70"/>
      <c r="T513" s="70"/>
      <c r="U513" s="70"/>
      <c r="V513" s="70"/>
      <c r="W513" s="70"/>
      <c r="X513" s="70"/>
      <c r="Y513" s="70"/>
      <c r="Z513" s="70"/>
    </row>
    <row r="514" spans="1:26" ht="12.75" customHeight="1">
      <c r="A514" s="70"/>
      <c r="B514" s="70"/>
      <c r="C514" s="70"/>
      <c r="D514" s="70"/>
      <c r="E514" s="70"/>
      <c r="F514" s="70"/>
      <c r="G514" s="70"/>
      <c r="H514" s="70"/>
      <c r="I514" s="70"/>
      <c r="J514" s="70"/>
      <c r="K514" s="71"/>
      <c r="L514" s="70"/>
      <c r="M514" s="70"/>
      <c r="N514" s="70"/>
      <c r="O514" s="70"/>
      <c r="P514" s="70"/>
      <c r="Q514" s="70"/>
      <c r="R514" s="70"/>
      <c r="S514" s="70"/>
      <c r="T514" s="70"/>
      <c r="U514" s="70"/>
      <c r="V514" s="70"/>
      <c r="W514" s="70"/>
      <c r="X514" s="70"/>
      <c r="Y514" s="70"/>
      <c r="Z514" s="70"/>
    </row>
    <row r="515" spans="1:26" ht="12.75" customHeight="1">
      <c r="A515" s="70"/>
      <c r="B515" s="70"/>
      <c r="C515" s="70"/>
      <c r="D515" s="70"/>
      <c r="E515" s="70"/>
      <c r="F515" s="70"/>
      <c r="G515" s="70"/>
      <c r="H515" s="70"/>
      <c r="I515" s="70"/>
      <c r="J515" s="70"/>
      <c r="K515" s="71"/>
      <c r="L515" s="70"/>
      <c r="M515" s="70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</row>
    <row r="516" spans="1:26" ht="12.75" customHeight="1">
      <c r="A516" s="70"/>
      <c r="B516" s="70"/>
      <c r="C516" s="70"/>
      <c r="D516" s="70"/>
      <c r="E516" s="70"/>
      <c r="F516" s="70"/>
      <c r="G516" s="70"/>
      <c r="H516" s="70"/>
      <c r="I516" s="70"/>
      <c r="J516" s="70"/>
      <c r="K516" s="71"/>
      <c r="L516" s="70"/>
      <c r="M516" s="70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</row>
    <row r="517" spans="1:26" ht="12.75" customHeight="1">
      <c r="A517" s="70"/>
      <c r="B517" s="70"/>
      <c r="C517" s="70"/>
      <c r="D517" s="70"/>
      <c r="E517" s="70"/>
      <c r="F517" s="70"/>
      <c r="G517" s="70"/>
      <c r="H517" s="70"/>
      <c r="I517" s="70"/>
      <c r="J517" s="70"/>
      <c r="K517" s="71"/>
      <c r="L517" s="70"/>
      <c r="M517" s="70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</row>
    <row r="518" spans="1:26" ht="12.75" customHeight="1">
      <c r="A518" s="70"/>
      <c r="B518" s="70"/>
      <c r="C518" s="70"/>
      <c r="D518" s="70"/>
      <c r="E518" s="70"/>
      <c r="F518" s="70"/>
      <c r="G518" s="70"/>
      <c r="H518" s="70"/>
      <c r="I518" s="70"/>
      <c r="J518" s="70"/>
      <c r="K518" s="71"/>
      <c r="L518" s="70"/>
      <c r="M518" s="70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/>
      <c r="Y518" s="70"/>
      <c r="Z518" s="70"/>
    </row>
    <row r="519" spans="1:26" ht="12.75" customHeight="1">
      <c r="A519" s="70"/>
      <c r="B519" s="70"/>
      <c r="C519" s="70"/>
      <c r="D519" s="70"/>
      <c r="E519" s="70"/>
      <c r="F519" s="70"/>
      <c r="G519" s="70"/>
      <c r="H519" s="70"/>
      <c r="I519" s="70"/>
      <c r="J519" s="70"/>
      <c r="K519" s="71"/>
      <c r="L519" s="70"/>
      <c r="M519" s="70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</row>
    <row r="520" spans="1:26" ht="12.75" customHeight="1">
      <c r="A520" s="70"/>
      <c r="B520" s="70"/>
      <c r="C520" s="70"/>
      <c r="D520" s="70"/>
      <c r="E520" s="70"/>
      <c r="F520" s="70"/>
      <c r="G520" s="70"/>
      <c r="H520" s="70"/>
      <c r="I520" s="70"/>
      <c r="J520" s="70"/>
      <c r="K520" s="71"/>
      <c r="L520" s="70"/>
      <c r="M520" s="70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</row>
    <row r="521" spans="1:26" ht="12.75" customHeight="1">
      <c r="A521" s="70"/>
      <c r="B521" s="70"/>
      <c r="C521" s="70"/>
      <c r="D521" s="70"/>
      <c r="E521" s="70"/>
      <c r="F521" s="70"/>
      <c r="G521" s="70"/>
      <c r="H521" s="70"/>
      <c r="I521" s="70"/>
      <c r="J521" s="70"/>
      <c r="K521" s="71"/>
      <c r="L521" s="70"/>
      <c r="M521" s="70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</row>
    <row r="522" spans="1:26" ht="12.75" customHeight="1">
      <c r="A522" s="70"/>
      <c r="B522" s="70"/>
      <c r="C522" s="70"/>
      <c r="D522" s="70"/>
      <c r="E522" s="70"/>
      <c r="F522" s="70"/>
      <c r="G522" s="70"/>
      <c r="H522" s="70"/>
      <c r="I522" s="70"/>
      <c r="J522" s="70"/>
      <c r="K522" s="71"/>
      <c r="L522" s="70"/>
      <c r="M522" s="70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</row>
    <row r="523" spans="1:26" ht="12.75" customHeight="1">
      <c r="A523" s="70"/>
      <c r="B523" s="70"/>
      <c r="C523" s="70"/>
      <c r="D523" s="70"/>
      <c r="E523" s="70"/>
      <c r="F523" s="70"/>
      <c r="G523" s="70"/>
      <c r="H523" s="70"/>
      <c r="I523" s="70"/>
      <c r="J523" s="70"/>
      <c r="K523" s="71"/>
      <c r="L523" s="70"/>
      <c r="M523" s="70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</row>
    <row r="524" spans="1:26" ht="12.75" customHeight="1">
      <c r="A524" s="70"/>
      <c r="B524" s="70"/>
      <c r="C524" s="70"/>
      <c r="D524" s="70"/>
      <c r="E524" s="70"/>
      <c r="F524" s="70"/>
      <c r="G524" s="70"/>
      <c r="H524" s="70"/>
      <c r="I524" s="70"/>
      <c r="J524" s="70"/>
      <c r="K524" s="71"/>
      <c r="L524" s="70"/>
      <c r="M524" s="70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</row>
    <row r="525" spans="1:26" ht="12.75" customHeight="1">
      <c r="A525" s="70"/>
      <c r="B525" s="70"/>
      <c r="C525" s="70"/>
      <c r="D525" s="70"/>
      <c r="E525" s="70"/>
      <c r="F525" s="70"/>
      <c r="G525" s="70"/>
      <c r="H525" s="70"/>
      <c r="I525" s="70"/>
      <c r="J525" s="70"/>
      <c r="K525" s="71"/>
      <c r="L525" s="70"/>
      <c r="M525" s="70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</row>
    <row r="526" spans="1:26" ht="12.75" customHeight="1">
      <c r="A526" s="70"/>
      <c r="B526" s="70"/>
      <c r="C526" s="70"/>
      <c r="D526" s="70"/>
      <c r="E526" s="70"/>
      <c r="F526" s="70"/>
      <c r="G526" s="70"/>
      <c r="H526" s="70"/>
      <c r="I526" s="70"/>
      <c r="J526" s="70"/>
      <c r="K526" s="71"/>
      <c r="L526" s="70"/>
      <c r="M526" s="70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</row>
    <row r="527" spans="1:26" ht="12.75" customHeight="1">
      <c r="A527" s="70"/>
      <c r="B527" s="70"/>
      <c r="C527" s="70"/>
      <c r="D527" s="70"/>
      <c r="E527" s="70"/>
      <c r="F527" s="70"/>
      <c r="G527" s="70"/>
      <c r="H527" s="70"/>
      <c r="I527" s="70"/>
      <c r="J527" s="70"/>
      <c r="K527" s="71"/>
      <c r="L527" s="70"/>
      <c r="M527" s="70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</row>
    <row r="528" spans="1:26" ht="12.75" customHeight="1">
      <c r="A528" s="70"/>
      <c r="B528" s="70"/>
      <c r="C528" s="70"/>
      <c r="D528" s="70"/>
      <c r="E528" s="70"/>
      <c r="F528" s="70"/>
      <c r="G528" s="70"/>
      <c r="H528" s="70"/>
      <c r="I528" s="70"/>
      <c r="J528" s="70"/>
      <c r="K528" s="71"/>
      <c r="L528" s="70"/>
      <c r="M528" s="70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</row>
    <row r="529" spans="1:26" ht="12.75" customHeight="1">
      <c r="A529" s="70"/>
      <c r="B529" s="70"/>
      <c r="C529" s="70"/>
      <c r="D529" s="70"/>
      <c r="E529" s="70"/>
      <c r="F529" s="70"/>
      <c r="G529" s="70"/>
      <c r="H529" s="70"/>
      <c r="I529" s="70"/>
      <c r="J529" s="70"/>
      <c r="K529" s="71"/>
      <c r="L529" s="70"/>
      <c r="M529" s="70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/>
      <c r="Y529" s="70"/>
      <c r="Z529" s="70"/>
    </row>
    <row r="530" spans="1:26" ht="12.75" customHeight="1">
      <c r="A530" s="70"/>
      <c r="B530" s="70"/>
      <c r="C530" s="70"/>
      <c r="D530" s="70"/>
      <c r="E530" s="70"/>
      <c r="F530" s="70"/>
      <c r="G530" s="70"/>
      <c r="H530" s="70"/>
      <c r="I530" s="70"/>
      <c r="J530" s="70"/>
      <c r="K530" s="71"/>
      <c r="L530" s="70"/>
      <c r="M530" s="70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/>
      <c r="Y530" s="70"/>
      <c r="Z530" s="70"/>
    </row>
    <row r="531" spans="1:26" ht="12.75" customHeight="1">
      <c r="A531" s="70"/>
      <c r="B531" s="70"/>
      <c r="C531" s="70"/>
      <c r="D531" s="70"/>
      <c r="E531" s="70"/>
      <c r="F531" s="70"/>
      <c r="G531" s="70"/>
      <c r="H531" s="70"/>
      <c r="I531" s="70"/>
      <c r="J531" s="70"/>
      <c r="K531" s="71"/>
      <c r="L531" s="70"/>
      <c r="M531" s="70"/>
      <c r="N531" s="70"/>
      <c r="O531" s="70"/>
      <c r="P531" s="70"/>
      <c r="Q531" s="70"/>
      <c r="R531" s="70"/>
      <c r="S531" s="70"/>
      <c r="T531" s="70"/>
      <c r="U531" s="70"/>
      <c r="V531" s="70"/>
      <c r="W531" s="70"/>
      <c r="X531" s="70"/>
      <c r="Y531" s="70"/>
      <c r="Z531" s="70"/>
    </row>
    <row r="532" spans="1:26" ht="12.75" customHeight="1">
      <c r="A532" s="70"/>
      <c r="B532" s="70"/>
      <c r="C532" s="70"/>
      <c r="D532" s="70"/>
      <c r="E532" s="70"/>
      <c r="F532" s="70"/>
      <c r="G532" s="70"/>
      <c r="H532" s="70"/>
      <c r="I532" s="70"/>
      <c r="J532" s="70"/>
      <c r="K532" s="71"/>
      <c r="L532" s="70"/>
      <c r="M532" s="70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</row>
    <row r="533" spans="1:26" ht="12.75" customHeight="1">
      <c r="A533" s="70"/>
      <c r="B533" s="70"/>
      <c r="C533" s="70"/>
      <c r="D533" s="70"/>
      <c r="E533" s="70"/>
      <c r="F533" s="70"/>
      <c r="G533" s="70"/>
      <c r="H533" s="70"/>
      <c r="I533" s="70"/>
      <c r="J533" s="70"/>
      <c r="K533" s="71"/>
      <c r="L533" s="70"/>
      <c r="M533" s="70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</row>
    <row r="534" spans="1:26" ht="12.75" customHeight="1">
      <c r="A534" s="70"/>
      <c r="B534" s="70"/>
      <c r="C534" s="70"/>
      <c r="D534" s="70"/>
      <c r="E534" s="70"/>
      <c r="F534" s="70"/>
      <c r="G534" s="70"/>
      <c r="H534" s="70"/>
      <c r="I534" s="70"/>
      <c r="J534" s="70"/>
      <c r="K534" s="71"/>
      <c r="L534" s="70"/>
      <c r="M534" s="70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</row>
    <row r="535" spans="1:26" ht="12.75" customHeight="1">
      <c r="A535" s="70"/>
      <c r="B535" s="70"/>
      <c r="C535" s="70"/>
      <c r="D535" s="70"/>
      <c r="E535" s="70"/>
      <c r="F535" s="70"/>
      <c r="G535" s="70"/>
      <c r="H535" s="70"/>
      <c r="I535" s="70"/>
      <c r="J535" s="70"/>
      <c r="K535" s="71"/>
      <c r="L535" s="70"/>
      <c r="M535" s="70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</row>
    <row r="536" spans="1:26" ht="12.75" customHeight="1">
      <c r="A536" s="70"/>
      <c r="B536" s="70"/>
      <c r="C536" s="70"/>
      <c r="D536" s="70"/>
      <c r="E536" s="70"/>
      <c r="F536" s="70"/>
      <c r="G536" s="70"/>
      <c r="H536" s="70"/>
      <c r="I536" s="70"/>
      <c r="J536" s="70"/>
      <c r="K536" s="71"/>
      <c r="L536" s="70"/>
      <c r="M536" s="70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</row>
    <row r="537" spans="1:26" ht="12.75" customHeight="1">
      <c r="A537" s="70"/>
      <c r="B537" s="70"/>
      <c r="C537" s="70"/>
      <c r="D537" s="70"/>
      <c r="E537" s="70"/>
      <c r="F537" s="70"/>
      <c r="G537" s="70"/>
      <c r="H537" s="70"/>
      <c r="I537" s="70"/>
      <c r="J537" s="70"/>
      <c r="K537" s="71"/>
      <c r="L537" s="70"/>
      <c r="M537" s="70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</row>
    <row r="538" spans="1:26" ht="12.75" customHeight="1">
      <c r="A538" s="70"/>
      <c r="B538" s="70"/>
      <c r="C538" s="70"/>
      <c r="D538" s="70"/>
      <c r="E538" s="70"/>
      <c r="F538" s="70"/>
      <c r="G538" s="70"/>
      <c r="H538" s="70"/>
      <c r="I538" s="70"/>
      <c r="J538" s="70"/>
      <c r="K538" s="71"/>
      <c r="L538" s="70"/>
      <c r="M538" s="70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</row>
    <row r="539" spans="1:26" ht="12.75" customHeight="1">
      <c r="A539" s="70"/>
      <c r="B539" s="70"/>
      <c r="C539" s="70"/>
      <c r="D539" s="70"/>
      <c r="E539" s="70"/>
      <c r="F539" s="70"/>
      <c r="G539" s="70"/>
      <c r="H539" s="70"/>
      <c r="I539" s="70"/>
      <c r="J539" s="70"/>
      <c r="K539" s="71"/>
      <c r="L539" s="70"/>
      <c r="M539" s="70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</row>
    <row r="540" spans="1:26" ht="12.75" customHeight="1">
      <c r="A540" s="70"/>
      <c r="B540" s="70"/>
      <c r="C540" s="70"/>
      <c r="D540" s="70"/>
      <c r="E540" s="70"/>
      <c r="F540" s="70"/>
      <c r="G540" s="70"/>
      <c r="H540" s="70"/>
      <c r="I540" s="70"/>
      <c r="J540" s="70"/>
      <c r="K540" s="71"/>
      <c r="L540" s="70"/>
      <c r="M540" s="70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</row>
    <row r="541" spans="1:26" ht="12.75" customHeight="1">
      <c r="A541" s="70"/>
      <c r="B541" s="70"/>
      <c r="C541" s="70"/>
      <c r="D541" s="70"/>
      <c r="E541" s="70"/>
      <c r="F541" s="70"/>
      <c r="G541" s="70"/>
      <c r="H541" s="70"/>
      <c r="I541" s="70"/>
      <c r="J541" s="70"/>
      <c r="K541" s="71"/>
      <c r="L541" s="70"/>
      <c r="M541" s="70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</row>
    <row r="542" spans="1:26" ht="12.75" customHeight="1">
      <c r="A542" s="70"/>
      <c r="B542" s="70"/>
      <c r="C542" s="70"/>
      <c r="D542" s="70"/>
      <c r="E542" s="70"/>
      <c r="F542" s="70"/>
      <c r="G542" s="70"/>
      <c r="H542" s="70"/>
      <c r="I542" s="70"/>
      <c r="J542" s="70"/>
      <c r="K542" s="71"/>
      <c r="L542" s="70"/>
      <c r="M542" s="70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/>
      <c r="Y542" s="70"/>
      <c r="Z542" s="70"/>
    </row>
    <row r="543" spans="1:26" ht="12.75" customHeight="1">
      <c r="A543" s="70"/>
      <c r="B543" s="70"/>
      <c r="C543" s="70"/>
      <c r="D543" s="70"/>
      <c r="E543" s="70"/>
      <c r="F543" s="70"/>
      <c r="G543" s="70"/>
      <c r="H543" s="70"/>
      <c r="I543" s="70"/>
      <c r="J543" s="70"/>
      <c r="K543" s="71"/>
      <c r="L543" s="70"/>
      <c r="M543" s="70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/>
      <c r="Y543" s="70"/>
      <c r="Z543" s="70"/>
    </row>
    <row r="544" spans="1:26" ht="12.75" customHeight="1">
      <c r="A544" s="70"/>
      <c r="B544" s="70"/>
      <c r="C544" s="70"/>
      <c r="D544" s="70"/>
      <c r="E544" s="70"/>
      <c r="F544" s="70"/>
      <c r="G544" s="70"/>
      <c r="H544" s="70"/>
      <c r="I544" s="70"/>
      <c r="J544" s="70"/>
      <c r="K544" s="71"/>
      <c r="L544" s="70"/>
      <c r="M544" s="70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/>
      <c r="Y544" s="70"/>
      <c r="Z544" s="70"/>
    </row>
    <row r="545" spans="1:26" ht="12.75" customHeight="1">
      <c r="A545" s="70"/>
      <c r="B545" s="70"/>
      <c r="C545" s="70"/>
      <c r="D545" s="70"/>
      <c r="E545" s="70"/>
      <c r="F545" s="70"/>
      <c r="G545" s="70"/>
      <c r="H545" s="70"/>
      <c r="I545" s="70"/>
      <c r="J545" s="70"/>
      <c r="K545" s="71"/>
      <c r="L545" s="70"/>
      <c r="M545" s="70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</row>
    <row r="546" spans="1:26" ht="12.75" customHeight="1">
      <c r="A546" s="70"/>
      <c r="B546" s="70"/>
      <c r="C546" s="70"/>
      <c r="D546" s="70"/>
      <c r="E546" s="70"/>
      <c r="F546" s="70"/>
      <c r="G546" s="70"/>
      <c r="H546" s="70"/>
      <c r="I546" s="70"/>
      <c r="J546" s="70"/>
      <c r="K546" s="71"/>
      <c r="L546" s="70"/>
      <c r="M546" s="70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</row>
    <row r="547" spans="1:26" ht="12.75" customHeight="1">
      <c r="A547" s="70"/>
      <c r="B547" s="70"/>
      <c r="C547" s="70"/>
      <c r="D547" s="70"/>
      <c r="E547" s="70"/>
      <c r="F547" s="70"/>
      <c r="G547" s="70"/>
      <c r="H547" s="70"/>
      <c r="I547" s="70"/>
      <c r="J547" s="70"/>
      <c r="K547" s="71"/>
      <c r="L547" s="70"/>
      <c r="M547" s="70"/>
      <c r="N547" s="70"/>
      <c r="O547" s="70"/>
      <c r="P547" s="70"/>
      <c r="Q547" s="70"/>
      <c r="R547" s="70"/>
      <c r="S547" s="70"/>
      <c r="T547" s="70"/>
      <c r="U547" s="70"/>
      <c r="V547" s="70"/>
      <c r="W547" s="70"/>
      <c r="X547" s="70"/>
      <c r="Y547" s="70"/>
      <c r="Z547" s="70"/>
    </row>
    <row r="548" spans="1:26" ht="12.75" customHeight="1">
      <c r="A548" s="70"/>
      <c r="B548" s="70"/>
      <c r="C548" s="70"/>
      <c r="D548" s="70"/>
      <c r="E548" s="70"/>
      <c r="F548" s="70"/>
      <c r="G548" s="70"/>
      <c r="H548" s="70"/>
      <c r="I548" s="70"/>
      <c r="J548" s="70"/>
      <c r="K548" s="71"/>
      <c r="L548" s="70"/>
      <c r="M548" s="70"/>
      <c r="N548" s="70"/>
      <c r="O548" s="70"/>
      <c r="P548" s="70"/>
      <c r="Q548" s="70"/>
      <c r="R548" s="70"/>
      <c r="S548" s="70"/>
      <c r="T548" s="70"/>
      <c r="U548" s="70"/>
      <c r="V548" s="70"/>
      <c r="W548" s="70"/>
      <c r="X548" s="70"/>
      <c r="Y548" s="70"/>
      <c r="Z548" s="70"/>
    </row>
    <row r="549" spans="1:26" ht="12.75" customHeight="1">
      <c r="A549" s="70"/>
      <c r="B549" s="70"/>
      <c r="C549" s="70"/>
      <c r="D549" s="70"/>
      <c r="E549" s="70"/>
      <c r="F549" s="70"/>
      <c r="G549" s="70"/>
      <c r="H549" s="70"/>
      <c r="I549" s="70"/>
      <c r="J549" s="70"/>
      <c r="K549" s="71"/>
      <c r="L549" s="70"/>
      <c r="M549" s="70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/>
      <c r="Y549" s="70"/>
      <c r="Z549" s="70"/>
    </row>
    <row r="550" spans="1:26" ht="12.75" customHeight="1">
      <c r="A550" s="70"/>
      <c r="B550" s="70"/>
      <c r="C550" s="70"/>
      <c r="D550" s="70"/>
      <c r="E550" s="70"/>
      <c r="F550" s="70"/>
      <c r="G550" s="70"/>
      <c r="H550" s="70"/>
      <c r="I550" s="70"/>
      <c r="J550" s="70"/>
      <c r="K550" s="71"/>
      <c r="L550" s="70"/>
      <c r="M550" s="70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/>
      <c r="Y550" s="70"/>
      <c r="Z550" s="70"/>
    </row>
    <row r="551" spans="1:26" ht="12.75" customHeight="1">
      <c r="A551" s="70"/>
      <c r="B551" s="70"/>
      <c r="C551" s="70"/>
      <c r="D551" s="70"/>
      <c r="E551" s="70"/>
      <c r="F551" s="70"/>
      <c r="G551" s="70"/>
      <c r="H551" s="70"/>
      <c r="I551" s="70"/>
      <c r="J551" s="70"/>
      <c r="K551" s="71"/>
      <c r="L551" s="70"/>
      <c r="M551" s="70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/>
      <c r="Y551" s="70"/>
      <c r="Z551" s="70"/>
    </row>
    <row r="552" spans="1:26" ht="12.75" customHeight="1">
      <c r="A552" s="70"/>
      <c r="B552" s="70"/>
      <c r="C552" s="70"/>
      <c r="D552" s="70"/>
      <c r="E552" s="70"/>
      <c r="F552" s="70"/>
      <c r="G552" s="70"/>
      <c r="H552" s="70"/>
      <c r="I552" s="70"/>
      <c r="J552" s="70"/>
      <c r="K552" s="71"/>
      <c r="L552" s="70"/>
      <c r="M552" s="70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/>
      <c r="Y552" s="70"/>
      <c r="Z552" s="70"/>
    </row>
    <row r="553" spans="1:26" ht="12.75" customHeight="1">
      <c r="A553" s="70"/>
      <c r="B553" s="70"/>
      <c r="C553" s="70"/>
      <c r="D553" s="70"/>
      <c r="E553" s="70"/>
      <c r="F553" s="70"/>
      <c r="G553" s="70"/>
      <c r="H553" s="70"/>
      <c r="I553" s="70"/>
      <c r="J553" s="70"/>
      <c r="K553" s="71"/>
      <c r="L553" s="70"/>
      <c r="M553" s="70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</row>
    <row r="554" spans="1:26" ht="12.75" customHeight="1">
      <c r="A554" s="70"/>
      <c r="B554" s="70"/>
      <c r="C554" s="70"/>
      <c r="D554" s="70"/>
      <c r="E554" s="70"/>
      <c r="F554" s="70"/>
      <c r="G554" s="70"/>
      <c r="H554" s="70"/>
      <c r="I554" s="70"/>
      <c r="J554" s="70"/>
      <c r="K554" s="71"/>
      <c r="L554" s="70"/>
      <c r="M554" s="70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</row>
    <row r="555" spans="1:26" ht="12.75" customHeight="1">
      <c r="A555" s="70"/>
      <c r="B555" s="70"/>
      <c r="C555" s="70"/>
      <c r="D555" s="70"/>
      <c r="E555" s="70"/>
      <c r="F555" s="70"/>
      <c r="G555" s="70"/>
      <c r="H555" s="70"/>
      <c r="I555" s="70"/>
      <c r="J555" s="70"/>
      <c r="K555" s="71"/>
      <c r="L555" s="70"/>
      <c r="M555" s="70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</row>
    <row r="556" spans="1:26" ht="12.75" customHeight="1">
      <c r="A556" s="70"/>
      <c r="B556" s="70"/>
      <c r="C556" s="70"/>
      <c r="D556" s="70"/>
      <c r="E556" s="70"/>
      <c r="F556" s="70"/>
      <c r="G556" s="70"/>
      <c r="H556" s="70"/>
      <c r="I556" s="70"/>
      <c r="J556" s="70"/>
      <c r="K556" s="71"/>
      <c r="L556" s="70"/>
      <c r="M556" s="70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</row>
    <row r="557" spans="1:26" ht="12.75" customHeight="1">
      <c r="A557" s="70"/>
      <c r="B557" s="70"/>
      <c r="C557" s="70"/>
      <c r="D557" s="70"/>
      <c r="E557" s="70"/>
      <c r="F557" s="70"/>
      <c r="G557" s="70"/>
      <c r="H557" s="70"/>
      <c r="I557" s="70"/>
      <c r="J557" s="70"/>
      <c r="K557" s="71"/>
      <c r="L557" s="70"/>
      <c r="M557" s="70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</row>
    <row r="558" spans="1:26" ht="12.75" customHeight="1">
      <c r="A558" s="70"/>
      <c r="B558" s="70"/>
      <c r="C558" s="70"/>
      <c r="D558" s="70"/>
      <c r="E558" s="70"/>
      <c r="F558" s="70"/>
      <c r="G558" s="70"/>
      <c r="H558" s="70"/>
      <c r="I558" s="70"/>
      <c r="J558" s="70"/>
      <c r="K558" s="71"/>
      <c r="L558" s="70"/>
      <c r="M558" s="70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</row>
    <row r="559" spans="1:26" ht="12.75" customHeight="1">
      <c r="A559" s="70"/>
      <c r="B559" s="70"/>
      <c r="C559" s="70"/>
      <c r="D559" s="70"/>
      <c r="E559" s="70"/>
      <c r="F559" s="70"/>
      <c r="G559" s="70"/>
      <c r="H559" s="70"/>
      <c r="I559" s="70"/>
      <c r="J559" s="70"/>
      <c r="K559" s="71"/>
      <c r="L559" s="70"/>
      <c r="M559" s="70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</row>
    <row r="560" spans="1:26" ht="12.75" customHeight="1">
      <c r="A560" s="70"/>
      <c r="B560" s="70"/>
      <c r="C560" s="70"/>
      <c r="D560" s="70"/>
      <c r="E560" s="70"/>
      <c r="F560" s="70"/>
      <c r="G560" s="70"/>
      <c r="H560" s="70"/>
      <c r="I560" s="70"/>
      <c r="J560" s="70"/>
      <c r="K560" s="71"/>
      <c r="L560" s="70"/>
      <c r="M560" s="70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/>
      <c r="Y560" s="70"/>
      <c r="Z560" s="70"/>
    </row>
    <row r="561" spans="1:26" ht="12.75" customHeight="1">
      <c r="A561" s="70"/>
      <c r="B561" s="70"/>
      <c r="C561" s="70"/>
      <c r="D561" s="70"/>
      <c r="E561" s="70"/>
      <c r="F561" s="70"/>
      <c r="G561" s="70"/>
      <c r="H561" s="70"/>
      <c r="I561" s="70"/>
      <c r="J561" s="70"/>
      <c r="K561" s="71"/>
      <c r="L561" s="70"/>
      <c r="M561" s="70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/>
      <c r="Y561" s="70"/>
      <c r="Z561" s="70"/>
    </row>
    <row r="562" spans="1:26" ht="12.75" customHeight="1">
      <c r="A562" s="70"/>
      <c r="B562" s="70"/>
      <c r="C562" s="70"/>
      <c r="D562" s="70"/>
      <c r="E562" s="70"/>
      <c r="F562" s="70"/>
      <c r="G562" s="70"/>
      <c r="H562" s="70"/>
      <c r="I562" s="70"/>
      <c r="J562" s="70"/>
      <c r="K562" s="71"/>
      <c r="L562" s="70"/>
      <c r="M562" s="70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/>
      <c r="Y562" s="70"/>
      <c r="Z562" s="70"/>
    </row>
    <row r="563" spans="1:26" ht="12.75" customHeight="1">
      <c r="A563" s="70"/>
      <c r="B563" s="70"/>
      <c r="C563" s="70"/>
      <c r="D563" s="70"/>
      <c r="E563" s="70"/>
      <c r="F563" s="70"/>
      <c r="G563" s="70"/>
      <c r="H563" s="70"/>
      <c r="I563" s="70"/>
      <c r="J563" s="70"/>
      <c r="K563" s="71"/>
      <c r="L563" s="70"/>
      <c r="M563" s="70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</row>
    <row r="564" spans="1:26" ht="12.75" customHeight="1">
      <c r="A564" s="70"/>
      <c r="B564" s="70"/>
      <c r="C564" s="70"/>
      <c r="D564" s="70"/>
      <c r="E564" s="70"/>
      <c r="F564" s="70"/>
      <c r="G564" s="70"/>
      <c r="H564" s="70"/>
      <c r="I564" s="70"/>
      <c r="J564" s="70"/>
      <c r="K564" s="71"/>
      <c r="L564" s="70"/>
      <c r="M564" s="70"/>
      <c r="N564" s="70"/>
      <c r="O564" s="70"/>
      <c r="P564" s="70"/>
      <c r="Q564" s="70"/>
      <c r="R564" s="70"/>
      <c r="S564" s="70"/>
      <c r="T564" s="70"/>
      <c r="U564" s="70"/>
      <c r="V564" s="70"/>
      <c r="W564" s="70"/>
      <c r="X564" s="70"/>
      <c r="Y564" s="70"/>
      <c r="Z564" s="70"/>
    </row>
    <row r="565" spans="1:26" ht="12.75" customHeight="1">
      <c r="A565" s="70"/>
      <c r="B565" s="70"/>
      <c r="C565" s="70"/>
      <c r="D565" s="70"/>
      <c r="E565" s="70"/>
      <c r="F565" s="70"/>
      <c r="G565" s="70"/>
      <c r="H565" s="70"/>
      <c r="I565" s="70"/>
      <c r="J565" s="70"/>
      <c r="K565" s="71"/>
      <c r="L565" s="70"/>
      <c r="M565" s="70"/>
      <c r="N565" s="70"/>
      <c r="O565" s="70"/>
      <c r="P565" s="70"/>
      <c r="Q565" s="70"/>
      <c r="R565" s="70"/>
      <c r="S565" s="70"/>
      <c r="T565" s="70"/>
      <c r="U565" s="70"/>
      <c r="V565" s="70"/>
      <c r="W565" s="70"/>
      <c r="X565" s="70"/>
      <c r="Y565" s="70"/>
      <c r="Z565" s="70"/>
    </row>
    <row r="566" spans="1:26" ht="12.75" customHeight="1">
      <c r="A566" s="70"/>
      <c r="B566" s="70"/>
      <c r="C566" s="70"/>
      <c r="D566" s="70"/>
      <c r="E566" s="70"/>
      <c r="F566" s="70"/>
      <c r="G566" s="70"/>
      <c r="H566" s="70"/>
      <c r="I566" s="70"/>
      <c r="J566" s="70"/>
      <c r="K566" s="71"/>
      <c r="L566" s="70"/>
      <c r="M566" s="70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</row>
    <row r="567" spans="1:26" ht="12.75" customHeight="1">
      <c r="A567" s="70"/>
      <c r="B567" s="70"/>
      <c r="C567" s="70"/>
      <c r="D567" s="70"/>
      <c r="E567" s="70"/>
      <c r="F567" s="70"/>
      <c r="G567" s="70"/>
      <c r="H567" s="70"/>
      <c r="I567" s="70"/>
      <c r="J567" s="70"/>
      <c r="K567" s="71"/>
      <c r="L567" s="70"/>
      <c r="M567" s="70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</row>
    <row r="568" spans="1:26" ht="12.75" customHeight="1">
      <c r="A568" s="70"/>
      <c r="B568" s="70"/>
      <c r="C568" s="70"/>
      <c r="D568" s="70"/>
      <c r="E568" s="70"/>
      <c r="F568" s="70"/>
      <c r="G568" s="70"/>
      <c r="H568" s="70"/>
      <c r="I568" s="70"/>
      <c r="J568" s="70"/>
      <c r="K568" s="71"/>
      <c r="L568" s="70"/>
      <c r="M568" s="70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</row>
    <row r="569" spans="1:26" ht="12.75" customHeight="1">
      <c r="A569" s="70"/>
      <c r="B569" s="70"/>
      <c r="C569" s="70"/>
      <c r="D569" s="70"/>
      <c r="E569" s="70"/>
      <c r="F569" s="70"/>
      <c r="G569" s="70"/>
      <c r="H569" s="70"/>
      <c r="I569" s="70"/>
      <c r="J569" s="70"/>
      <c r="K569" s="71"/>
      <c r="L569" s="70"/>
      <c r="M569" s="70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</row>
    <row r="570" spans="1:26" ht="12.75" customHeight="1">
      <c r="A570" s="70"/>
      <c r="B570" s="70"/>
      <c r="C570" s="70"/>
      <c r="D570" s="70"/>
      <c r="E570" s="70"/>
      <c r="F570" s="70"/>
      <c r="G570" s="70"/>
      <c r="H570" s="70"/>
      <c r="I570" s="70"/>
      <c r="J570" s="70"/>
      <c r="K570" s="71"/>
      <c r="L570" s="70"/>
      <c r="M570" s="70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</row>
    <row r="571" spans="1:26" ht="12.75" customHeight="1">
      <c r="A571" s="70"/>
      <c r="B571" s="70"/>
      <c r="C571" s="70"/>
      <c r="D571" s="70"/>
      <c r="E571" s="70"/>
      <c r="F571" s="70"/>
      <c r="G571" s="70"/>
      <c r="H571" s="70"/>
      <c r="I571" s="70"/>
      <c r="J571" s="70"/>
      <c r="K571" s="71"/>
      <c r="L571" s="70"/>
      <c r="M571" s="70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</row>
    <row r="572" spans="1:26" ht="12.75" customHeight="1">
      <c r="A572" s="70"/>
      <c r="B572" s="70"/>
      <c r="C572" s="70"/>
      <c r="D572" s="70"/>
      <c r="E572" s="70"/>
      <c r="F572" s="70"/>
      <c r="G572" s="70"/>
      <c r="H572" s="70"/>
      <c r="I572" s="70"/>
      <c r="J572" s="70"/>
      <c r="K572" s="71"/>
      <c r="L572" s="70"/>
      <c r="M572" s="70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</row>
    <row r="573" spans="1:26" ht="12.75" customHeight="1">
      <c r="A573" s="70"/>
      <c r="B573" s="70"/>
      <c r="C573" s="70"/>
      <c r="D573" s="70"/>
      <c r="E573" s="70"/>
      <c r="F573" s="70"/>
      <c r="G573" s="70"/>
      <c r="H573" s="70"/>
      <c r="I573" s="70"/>
      <c r="J573" s="70"/>
      <c r="K573" s="71"/>
      <c r="L573" s="70"/>
      <c r="M573" s="70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</row>
    <row r="574" spans="1:26" ht="12.75" customHeight="1">
      <c r="A574" s="70"/>
      <c r="B574" s="70"/>
      <c r="C574" s="70"/>
      <c r="D574" s="70"/>
      <c r="E574" s="70"/>
      <c r="F574" s="70"/>
      <c r="G574" s="70"/>
      <c r="H574" s="70"/>
      <c r="I574" s="70"/>
      <c r="J574" s="70"/>
      <c r="K574" s="71"/>
      <c r="L574" s="70"/>
      <c r="M574" s="70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</row>
    <row r="575" spans="1:26" ht="12.75" customHeight="1">
      <c r="A575" s="70"/>
      <c r="B575" s="70"/>
      <c r="C575" s="70"/>
      <c r="D575" s="70"/>
      <c r="E575" s="70"/>
      <c r="F575" s="70"/>
      <c r="G575" s="70"/>
      <c r="H575" s="70"/>
      <c r="I575" s="70"/>
      <c r="J575" s="70"/>
      <c r="K575" s="71"/>
      <c r="L575" s="70"/>
      <c r="M575" s="70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</row>
    <row r="576" spans="1:26" ht="12.75" customHeight="1">
      <c r="A576" s="70"/>
      <c r="B576" s="70"/>
      <c r="C576" s="70"/>
      <c r="D576" s="70"/>
      <c r="E576" s="70"/>
      <c r="F576" s="70"/>
      <c r="G576" s="70"/>
      <c r="H576" s="70"/>
      <c r="I576" s="70"/>
      <c r="J576" s="70"/>
      <c r="K576" s="71"/>
      <c r="L576" s="70"/>
      <c r="M576" s="70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</row>
    <row r="577" spans="1:26" ht="12.75" customHeight="1">
      <c r="A577" s="70"/>
      <c r="B577" s="70"/>
      <c r="C577" s="70"/>
      <c r="D577" s="70"/>
      <c r="E577" s="70"/>
      <c r="F577" s="70"/>
      <c r="G577" s="70"/>
      <c r="H577" s="70"/>
      <c r="I577" s="70"/>
      <c r="J577" s="70"/>
      <c r="K577" s="71"/>
      <c r="L577" s="70"/>
      <c r="M577" s="70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</row>
    <row r="578" spans="1:26" ht="12.75" customHeight="1">
      <c r="A578" s="70"/>
      <c r="B578" s="70"/>
      <c r="C578" s="70"/>
      <c r="D578" s="70"/>
      <c r="E578" s="70"/>
      <c r="F578" s="70"/>
      <c r="G578" s="70"/>
      <c r="H578" s="70"/>
      <c r="I578" s="70"/>
      <c r="J578" s="70"/>
      <c r="K578" s="71"/>
      <c r="L578" s="70"/>
      <c r="M578" s="70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</row>
    <row r="579" spans="1:26" ht="12.75" customHeight="1">
      <c r="A579" s="70"/>
      <c r="B579" s="70"/>
      <c r="C579" s="70"/>
      <c r="D579" s="70"/>
      <c r="E579" s="70"/>
      <c r="F579" s="70"/>
      <c r="G579" s="70"/>
      <c r="H579" s="70"/>
      <c r="I579" s="70"/>
      <c r="J579" s="70"/>
      <c r="K579" s="71"/>
      <c r="L579" s="70"/>
      <c r="M579" s="70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</row>
    <row r="580" spans="1:26" ht="12.75" customHeight="1">
      <c r="A580" s="70"/>
      <c r="B580" s="70"/>
      <c r="C580" s="70"/>
      <c r="D580" s="70"/>
      <c r="E580" s="70"/>
      <c r="F580" s="70"/>
      <c r="G580" s="70"/>
      <c r="H580" s="70"/>
      <c r="I580" s="70"/>
      <c r="J580" s="70"/>
      <c r="K580" s="71"/>
      <c r="L580" s="70"/>
      <c r="M580" s="70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</row>
    <row r="581" spans="1:26" ht="12.75" customHeight="1">
      <c r="A581" s="70"/>
      <c r="B581" s="70"/>
      <c r="C581" s="70"/>
      <c r="D581" s="70"/>
      <c r="E581" s="70"/>
      <c r="F581" s="70"/>
      <c r="G581" s="70"/>
      <c r="H581" s="70"/>
      <c r="I581" s="70"/>
      <c r="J581" s="70"/>
      <c r="K581" s="71"/>
      <c r="L581" s="70"/>
      <c r="M581" s="70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/>
      <c r="Y581" s="70"/>
      <c r="Z581" s="70"/>
    </row>
    <row r="582" spans="1:26" ht="12.75" customHeight="1">
      <c r="A582" s="70"/>
      <c r="B582" s="70"/>
      <c r="C582" s="70"/>
      <c r="D582" s="70"/>
      <c r="E582" s="70"/>
      <c r="F582" s="70"/>
      <c r="G582" s="70"/>
      <c r="H582" s="70"/>
      <c r="I582" s="70"/>
      <c r="J582" s="70"/>
      <c r="K582" s="71"/>
      <c r="L582" s="70"/>
      <c r="M582" s="70"/>
      <c r="N582" s="70"/>
      <c r="O582" s="70"/>
      <c r="P582" s="70"/>
      <c r="Q582" s="70"/>
      <c r="R582" s="70"/>
      <c r="S582" s="70"/>
      <c r="T582" s="70"/>
      <c r="U582" s="70"/>
      <c r="V582" s="70"/>
      <c r="W582" s="70"/>
      <c r="X582" s="70"/>
      <c r="Y582" s="70"/>
      <c r="Z582" s="70"/>
    </row>
    <row r="583" spans="1:26" ht="12.75" customHeight="1">
      <c r="A583" s="70"/>
      <c r="B583" s="70"/>
      <c r="C583" s="70"/>
      <c r="D583" s="70"/>
      <c r="E583" s="70"/>
      <c r="F583" s="70"/>
      <c r="G583" s="70"/>
      <c r="H583" s="70"/>
      <c r="I583" s="70"/>
      <c r="J583" s="70"/>
      <c r="K583" s="71"/>
      <c r="L583" s="70"/>
      <c r="M583" s="70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</row>
    <row r="584" spans="1:26" ht="12.75" customHeight="1">
      <c r="A584" s="70"/>
      <c r="B584" s="70"/>
      <c r="C584" s="70"/>
      <c r="D584" s="70"/>
      <c r="E584" s="70"/>
      <c r="F584" s="70"/>
      <c r="G584" s="70"/>
      <c r="H584" s="70"/>
      <c r="I584" s="70"/>
      <c r="J584" s="70"/>
      <c r="K584" s="71"/>
      <c r="L584" s="70"/>
      <c r="M584" s="70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</row>
    <row r="585" spans="1:26" ht="12.75" customHeight="1">
      <c r="A585" s="70"/>
      <c r="B585" s="70"/>
      <c r="C585" s="70"/>
      <c r="D585" s="70"/>
      <c r="E585" s="70"/>
      <c r="F585" s="70"/>
      <c r="G585" s="70"/>
      <c r="H585" s="70"/>
      <c r="I585" s="70"/>
      <c r="J585" s="70"/>
      <c r="K585" s="71"/>
      <c r="L585" s="70"/>
      <c r="M585" s="70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</row>
    <row r="586" spans="1:26" ht="12.75" customHeight="1">
      <c r="A586" s="70"/>
      <c r="B586" s="70"/>
      <c r="C586" s="70"/>
      <c r="D586" s="70"/>
      <c r="E586" s="70"/>
      <c r="F586" s="70"/>
      <c r="G586" s="70"/>
      <c r="H586" s="70"/>
      <c r="I586" s="70"/>
      <c r="J586" s="70"/>
      <c r="K586" s="71"/>
      <c r="L586" s="70"/>
      <c r="M586" s="70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</row>
    <row r="587" spans="1:26" ht="12.75" customHeight="1">
      <c r="A587" s="70"/>
      <c r="B587" s="70"/>
      <c r="C587" s="70"/>
      <c r="D587" s="70"/>
      <c r="E587" s="70"/>
      <c r="F587" s="70"/>
      <c r="G587" s="70"/>
      <c r="H587" s="70"/>
      <c r="I587" s="70"/>
      <c r="J587" s="70"/>
      <c r="K587" s="71"/>
      <c r="L587" s="70"/>
      <c r="M587" s="70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</row>
    <row r="588" spans="1:26" ht="12.75" customHeight="1">
      <c r="A588" s="70"/>
      <c r="B588" s="70"/>
      <c r="C588" s="70"/>
      <c r="D588" s="70"/>
      <c r="E588" s="70"/>
      <c r="F588" s="70"/>
      <c r="G588" s="70"/>
      <c r="H588" s="70"/>
      <c r="I588" s="70"/>
      <c r="J588" s="70"/>
      <c r="K588" s="71"/>
      <c r="L588" s="70"/>
      <c r="M588" s="70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</row>
    <row r="589" spans="1:26" ht="12.75" customHeight="1">
      <c r="A589" s="70"/>
      <c r="B589" s="70"/>
      <c r="C589" s="70"/>
      <c r="D589" s="70"/>
      <c r="E589" s="70"/>
      <c r="F589" s="70"/>
      <c r="G589" s="70"/>
      <c r="H589" s="70"/>
      <c r="I589" s="70"/>
      <c r="J589" s="70"/>
      <c r="K589" s="71"/>
      <c r="L589" s="70"/>
      <c r="M589" s="70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</row>
    <row r="590" spans="1:26" ht="12.75" customHeight="1">
      <c r="A590" s="70"/>
      <c r="B590" s="70"/>
      <c r="C590" s="70"/>
      <c r="D590" s="70"/>
      <c r="E590" s="70"/>
      <c r="F590" s="70"/>
      <c r="G590" s="70"/>
      <c r="H590" s="70"/>
      <c r="I590" s="70"/>
      <c r="J590" s="70"/>
      <c r="K590" s="71"/>
      <c r="L590" s="70"/>
      <c r="M590" s="70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/>
      <c r="Y590" s="70"/>
      <c r="Z590" s="70"/>
    </row>
    <row r="591" spans="1:26" ht="12.75" customHeight="1">
      <c r="A591" s="70"/>
      <c r="B591" s="70"/>
      <c r="C591" s="70"/>
      <c r="D591" s="70"/>
      <c r="E591" s="70"/>
      <c r="F591" s="70"/>
      <c r="G591" s="70"/>
      <c r="H591" s="70"/>
      <c r="I591" s="70"/>
      <c r="J591" s="70"/>
      <c r="K591" s="71"/>
      <c r="L591" s="70"/>
      <c r="M591" s="70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/>
      <c r="Y591" s="70"/>
      <c r="Z591" s="70"/>
    </row>
    <row r="592" spans="1:26" ht="12.75" customHeight="1">
      <c r="A592" s="70"/>
      <c r="B592" s="70"/>
      <c r="C592" s="70"/>
      <c r="D592" s="70"/>
      <c r="E592" s="70"/>
      <c r="F592" s="70"/>
      <c r="G592" s="70"/>
      <c r="H592" s="70"/>
      <c r="I592" s="70"/>
      <c r="J592" s="70"/>
      <c r="K592" s="71"/>
      <c r="L592" s="70"/>
      <c r="M592" s="70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/>
      <c r="Y592" s="70"/>
      <c r="Z592" s="70"/>
    </row>
    <row r="593" spans="1:26" ht="12.75" customHeight="1">
      <c r="A593" s="70"/>
      <c r="B593" s="70"/>
      <c r="C593" s="70"/>
      <c r="D593" s="70"/>
      <c r="E593" s="70"/>
      <c r="F593" s="70"/>
      <c r="G593" s="70"/>
      <c r="H593" s="70"/>
      <c r="I593" s="70"/>
      <c r="J593" s="70"/>
      <c r="K593" s="71"/>
      <c r="L593" s="70"/>
      <c r="M593" s="70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</row>
    <row r="594" spans="1:26" ht="12.75" customHeight="1">
      <c r="A594" s="70"/>
      <c r="B594" s="70"/>
      <c r="C594" s="70"/>
      <c r="D594" s="70"/>
      <c r="E594" s="70"/>
      <c r="F594" s="70"/>
      <c r="G594" s="70"/>
      <c r="H594" s="70"/>
      <c r="I594" s="70"/>
      <c r="J594" s="70"/>
      <c r="K594" s="71"/>
      <c r="L594" s="70"/>
      <c r="M594" s="70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</row>
    <row r="595" spans="1:26" ht="12.75" customHeight="1">
      <c r="A595" s="70"/>
      <c r="B595" s="70"/>
      <c r="C595" s="70"/>
      <c r="D595" s="70"/>
      <c r="E595" s="70"/>
      <c r="F595" s="70"/>
      <c r="G595" s="70"/>
      <c r="H595" s="70"/>
      <c r="I595" s="70"/>
      <c r="J595" s="70"/>
      <c r="K595" s="71"/>
      <c r="L595" s="70"/>
      <c r="M595" s="70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/>
      <c r="Y595" s="70"/>
      <c r="Z595" s="70"/>
    </row>
    <row r="596" spans="1:26" ht="12.75" customHeight="1">
      <c r="A596" s="70"/>
      <c r="B596" s="70"/>
      <c r="C596" s="70"/>
      <c r="D596" s="70"/>
      <c r="E596" s="70"/>
      <c r="F596" s="70"/>
      <c r="G596" s="70"/>
      <c r="H596" s="70"/>
      <c r="I596" s="70"/>
      <c r="J596" s="70"/>
      <c r="K596" s="71"/>
      <c r="L596" s="70"/>
      <c r="M596" s="70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</row>
    <row r="597" spans="1:26" ht="12.75" customHeight="1">
      <c r="A597" s="70"/>
      <c r="B597" s="70"/>
      <c r="C597" s="70"/>
      <c r="D597" s="70"/>
      <c r="E597" s="70"/>
      <c r="F597" s="70"/>
      <c r="G597" s="70"/>
      <c r="H597" s="70"/>
      <c r="I597" s="70"/>
      <c r="J597" s="70"/>
      <c r="K597" s="71"/>
      <c r="L597" s="70"/>
      <c r="M597" s="70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</row>
    <row r="598" spans="1:26" ht="12.75" customHeight="1">
      <c r="A598" s="70"/>
      <c r="B598" s="70"/>
      <c r="C598" s="70"/>
      <c r="D598" s="70"/>
      <c r="E598" s="70"/>
      <c r="F598" s="70"/>
      <c r="G598" s="70"/>
      <c r="H598" s="70"/>
      <c r="I598" s="70"/>
      <c r="J598" s="70"/>
      <c r="K598" s="71"/>
      <c r="L598" s="70"/>
      <c r="M598" s="70"/>
      <c r="N598" s="70"/>
      <c r="O598" s="70"/>
      <c r="P598" s="70"/>
      <c r="Q598" s="70"/>
      <c r="R598" s="70"/>
      <c r="S598" s="70"/>
      <c r="T598" s="70"/>
      <c r="U598" s="70"/>
      <c r="V598" s="70"/>
      <c r="W598" s="70"/>
      <c r="X598" s="70"/>
      <c r="Y598" s="70"/>
      <c r="Z598" s="70"/>
    </row>
    <row r="599" spans="1:26" ht="12.75" customHeight="1">
      <c r="A599" s="70"/>
      <c r="B599" s="70"/>
      <c r="C599" s="70"/>
      <c r="D599" s="70"/>
      <c r="E599" s="70"/>
      <c r="F599" s="70"/>
      <c r="G599" s="70"/>
      <c r="H599" s="70"/>
      <c r="I599" s="70"/>
      <c r="J599" s="70"/>
      <c r="K599" s="71"/>
      <c r="L599" s="70"/>
      <c r="M599" s="70"/>
      <c r="N599" s="70"/>
      <c r="O599" s="70"/>
      <c r="P599" s="70"/>
      <c r="Q599" s="70"/>
      <c r="R599" s="70"/>
      <c r="S599" s="70"/>
      <c r="T599" s="70"/>
      <c r="U599" s="70"/>
      <c r="V599" s="70"/>
      <c r="W599" s="70"/>
      <c r="X599" s="70"/>
      <c r="Y599" s="70"/>
      <c r="Z599" s="70"/>
    </row>
    <row r="600" spans="1:26" ht="12.75" customHeight="1">
      <c r="A600" s="70"/>
      <c r="B600" s="70"/>
      <c r="C600" s="70"/>
      <c r="D600" s="70"/>
      <c r="E600" s="70"/>
      <c r="F600" s="70"/>
      <c r="G600" s="70"/>
      <c r="H600" s="70"/>
      <c r="I600" s="70"/>
      <c r="J600" s="70"/>
      <c r="K600" s="71"/>
      <c r="L600" s="70"/>
      <c r="M600" s="70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</row>
    <row r="601" spans="1:26" ht="12.75" customHeight="1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1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ht="12.75" customHeight="1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1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  <row r="603" spans="1:26" ht="12.75" customHeight="1">
      <c r="A603" s="70"/>
      <c r="B603" s="70"/>
      <c r="C603" s="70"/>
      <c r="D603" s="70"/>
      <c r="E603" s="70"/>
      <c r="F603" s="70"/>
      <c r="G603" s="70"/>
      <c r="H603" s="70"/>
      <c r="I603" s="70"/>
      <c r="J603" s="70"/>
      <c r="K603" s="71"/>
      <c r="L603" s="70"/>
      <c r="M603" s="70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</row>
    <row r="604" spans="1:26" ht="12.75" customHeight="1">
      <c r="A604" s="70"/>
      <c r="B604" s="70"/>
      <c r="C604" s="70"/>
      <c r="D604" s="70"/>
      <c r="E604" s="70"/>
      <c r="F604" s="70"/>
      <c r="G604" s="70"/>
      <c r="H604" s="70"/>
      <c r="I604" s="70"/>
      <c r="J604" s="70"/>
      <c r="K604" s="71"/>
      <c r="L604" s="70"/>
      <c r="M604" s="70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</row>
    <row r="605" spans="1:26" ht="12.75" customHeight="1">
      <c r="A605" s="70"/>
      <c r="B605" s="70"/>
      <c r="C605" s="70"/>
      <c r="D605" s="70"/>
      <c r="E605" s="70"/>
      <c r="F605" s="70"/>
      <c r="G605" s="70"/>
      <c r="H605" s="70"/>
      <c r="I605" s="70"/>
      <c r="J605" s="70"/>
      <c r="K605" s="71"/>
      <c r="L605" s="70"/>
      <c r="M605" s="70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/>
      <c r="Y605" s="70"/>
      <c r="Z605" s="70"/>
    </row>
    <row r="606" spans="1:26" ht="12.75" customHeight="1">
      <c r="A606" s="70"/>
      <c r="B606" s="70"/>
      <c r="C606" s="70"/>
      <c r="D606" s="70"/>
      <c r="E606" s="70"/>
      <c r="F606" s="70"/>
      <c r="G606" s="70"/>
      <c r="H606" s="70"/>
      <c r="I606" s="70"/>
      <c r="J606" s="70"/>
      <c r="K606" s="71"/>
      <c r="L606" s="70"/>
      <c r="M606" s="70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/>
      <c r="Y606" s="70"/>
      <c r="Z606" s="70"/>
    </row>
    <row r="607" spans="1:26" ht="12.75" customHeight="1">
      <c r="A607" s="70"/>
      <c r="B607" s="70"/>
      <c r="C607" s="70"/>
      <c r="D607" s="70"/>
      <c r="E607" s="70"/>
      <c r="F607" s="70"/>
      <c r="G607" s="70"/>
      <c r="H607" s="70"/>
      <c r="I607" s="70"/>
      <c r="J607" s="70"/>
      <c r="K607" s="71"/>
      <c r="L607" s="70"/>
      <c r="M607" s="70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/>
      <c r="Y607" s="70"/>
      <c r="Z607" s="70"/>
    </row>
    <row r="608" spans="1:26" ht="12.75" customHeight="1">
      <c r="A608" s="70"/>
      <c r="B608" s="70"/>
      <c r="C608" s="70"/>
      <c r="D608" s="70"/>
      <c r="E608" s="70"/>
      <c r="F608" s="70"/>
      <c r="G608" s="70"/>
      <c r="H608" s="70"/>
      <c r="I608" s="70"/>
      <c r="J608" s="70"/>
      <c r="K608" s="71"/>
      <c r="L608" s="70"/>
      <c r="M608" s="70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/>
      <c r="Y608" s="70"/>
      <c r="Z608" s="70"/>
    </row>
    <row r="609" spans="1:26" ht="12.75" customHeight="1">
      <c r="A609" s="70"/>
      <c r="B609" s="70"/>
      <c r="C609" s="70"/>
      <c r="D609" s="70"/>
      <c r="E609" s="70"/>
      <c r="F609" s="70"/>
      <c r="G609" s="70"/>
      <c r="H609" s="70"/>
      <c r="I609" s="70"/>
      <c r="J609" s="70"/>
      <c r="K609" s="71"/>
      <c r="L609" s="70"/>
      <c r="M609" s="70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/>
      <c r="Y609" s="70"/>
      <c r="Z609" s="70"/>
    </row>
    <row r="610" spans="1:26" ht="12.75" customHeight="1">
      <c r="A610" s="70"/>
      <c r="B610" s="70"/>
      <c r="C610" s="70"/>
      <c r="D610" s="70"/>
      <c r="E610" s="70"/>
      <c r="F610" s="70"/>
      <c r="G610" s="70"/>
      <c r="H610" s="70"/>
      <c r="I610" s="70"/>
      <c r="J610" s="70"/>
      <c r="K610" s="71"/>
      <c r="L610" s="70"/>
      <c r="M610" s="70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</row>
    <row r="611" spans="1:26" ht="12.75" customHeight="1">
      <c r="A611" s="70"/>
      <c r="B611" s="70"/>
      <c r="C611" s="70"/>
      <c r="D611" s="70"/>
      <c r="E611" s="70"/>
      <c r="F611" s="70"/>
      <c r="G611" s="70"/>
      <c r="H611" s="70"/>
      <c r="I611" s="70"/>
      <c r="J611" s="70"/>
      <c r="K611" s="71"/>
      <c r="L611" s="70"/>
      <c r="M611" s="70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</row>
    <row r="612" spans="1:26" ht="12.75" customHeight="1">
      <c r="A612" s="70"/>
      <c r="B612" s="70"/>
      <c r="C612" s="70"/>
      <c r="D612" s="70"/>
      <c r="E612" s="70"/>
      <c r="F612" s="70"/>
      <c r="G612" s="70"/>
      <c r="H612" s="70"/>
      <c r="I612" s="70"/>
      <c r="J612" s="70"/>
      <c r="K612" s="71"/>
      <c r="L612" s="70"/>
      <c r="M612" s="70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</row>
    <row r="613" spans="1:26" ht="12.75" customHeight="1">
      <c r="A613" s="70"/>
      <c r="B613" s="70"/>
      <c r="C613" s="70"/>
      <c r="D613" s="70"/>
      <c r="E613" s="70"/>
      <c r="F613" s="70"/>
      <c r="G613" s="70"/>
      <c r="H613" s="70"/>
      <c r="I613" s="70"/>
      <c r="J613" s="70"/>
      <c r="K613" s="71"/>
      <c r="L613" s="70"/>
      <c r="M613" s="70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</row>
    <row r="614" spans="1:26" ht="12.75" customHeight="1">
      <c r="A614" s="70"/>
      <c r="B614" s="70"/>
      <c r="C614" s="70"/>
      <c r="D614" s="70"/>
      <c r="E614" s="70"/>
      <c r="F614" s="70"/>
      <c r="G614" s="70"/>
      <c r="H614" s="70"/>
      <c r="I614" s="70"/>
      <c r="J614" s="70"/>
      <c r="K614" s="71"/>
      <c r="L614" s="70"/>
      <c r="M614" s="70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</row>
    <row r="615" spans="1:26" ht="12.75" customHeight="1">
      <c r="A615" s="70"/>
      <c r="B615" s="70"/>
      <c r="C615" s="70"/>
      <c r="D615" s="70"/>
      <c r="E615" s="70"/>
      <c r="F615" s="70"/>
      <c r="G615" s="70"/>
      <c r="H615" s="70"/>
      <c r="I615" s="70"/>
      <c r="J615" s="70"/>
      <c r="K615" s="71"/>
      <c r="L615" s="70"/>
      <c r="M615" s="70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/>
      <c r="Y615" s="70"/>
      <c r="Z615" s="70"/>
    </row>
    <row r="616" spans="1:26" ht="12.75" customHeight="1">
      <c r="A616" s="70"/>
      <c r="B616" s="70"/>
      <c r="C616" s="70"/>
      <c r="D616" s="70"/>
      <c r="E616" s="70"/>
      <c r="F616" s="70"/>
      <c r="G616" s="70"/>
      <c r="H616" s="70"/>
      <c r="I616" s="70"/>
      <c r="J616" s="70"/>
      <c r="K616" s="71"/>
      <c r="L616" s="70"/>
      <c r="M616" s="70"/>
      <c r="N616" s="70"/>
      <c r="O616" s="70"/>
      <c r="P616" s="70"/>
      <c r="Q616" s="70"/>
      <c r="R616" s="70"/>
      <c r="S616" s="70"/>
      <c r="T616" s="70"/>
      <c r="U616" s="70"/>
      <c r="V616" s="70"/>
      <c r="W616" s="70"/>
      <c r="X616" s="70"/>
      <c r="Y616" s="70"/>
      <c r="Z616" s="70"/>
    </row>
    <row r="617" spans="1:26" ht="12.75" customHeight="1">
      <c r="A617" s="70"/>
      <c r="B617" s="70"/>
      <c r="C617" s="70"/>
      <c r="D617" s="70"/>
      <c r="E617" s="70"/>
      <c r="F617" s="70"/>
      <c r="G617" s="70"/>
      <c r="H617" s="70"/>
      <c r="I617" s="70"/>
      <c r="J617" s="70"/>
      <c r="K617" s="71"/>
      <c r="L617" s="70"/>
      <c r="M617" s="70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</row>
    <row r="618" spans="1:26" ht="12.75" customHeight="1">
      <c r="A618" s="70"/>
      <c r="B618" s="70"/>
      <c r="C618" s="70"/>
      <c r="D618" s="70"/>
      <c r="E618" s="70"/>
      <c r="F618" s="70"/>
      <c r="G618" s="70"/>
      <c r="H618" s="70"/>
      <c r="I618" s="70"/>
      <c r="J618" s="70"/>
      <c r="K618" s="71"/>
      <c r="L618" s="70"/>
      <c r="M618" s="70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</row>
    <row r="619" spans="1:26" ht="12.75" customHeight="1">
      <c r="A619" s="70"/>
      <c r="B619" s="70"/>
      <c r="C619" s="70"/>
      <c r="D619" s="70"/>
      <c r="E619" s="70"/>
      <c r="F619" s="70"/>
      <c r="G619" s="70"/>
      <c r="H619" s="70"/>
      <c r="I619" s="70"/>
      <c r="J619" s="70"/>
      <c r="K619" s="71"/>
      <c r="L619" s="70"/>
      <c r="M619" s="70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</row>
    <row r="620" spans="1:26" ht="12.75" customHeight="1">
      <c r="A620" s="70"/>
      <c r="B620" s="70"/>
      <c r="C620" s="70"/>
      <c r="D620" s="70"/>
      <c r="E620" s="70"/>
      <c r="F620" s="70"/>
      <c r="G620" s="70"/>
      <c r="H620" s="70"/>
      <c r="I620" s="70"/>
      <c r="J620" s="70"/>
      <c r="K620" s="71"/>
      <c r="L620" s="70"/>
      <c r="M620" s="70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</row>
    <row r="621" spans="1:26" ht="12.75" customHeight="1">
      <c r="A621" s="70"/>
      <c r="B621" s="70"/>
      <c r="C621" s="70"/>
      <c r="D621" s="70"/>
      <c r="E621" s="70"/>
      <c r="F621" s="70"/>
      <c r="G621" s="70"/>
      <c r="H621" s="70"/>
      <c r="I621" s="70"/>
      <c r="J621" s="70"/>
      <c r="K621" s="71"/>
      <c r="L621" s="70"/>
      <c r="M621" s="70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</row>
    <row r="622" spans="1:26" ht="12.75" customHeight="1">
      <c r="A622" s="70"/>
      <c r="B622" s="70"/>
      <c r="C622" s="70"/>
      <c r="D622" s="70"/>
      <c r="E622" s="70"/>
      <c r="F622" s="70"/>
      <c r="G622" s="70"/>
      <c r="H622" s="70"/>
      <c r="I622" s="70"/>
      <c r="J622" s="70"/>
      <c r="K622" s="71"/>
      <c r="L622" s="70"/>
      <c r="M622" s="70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</row>
    <row r="623" spans="1:26" ht="12.75" customHeight="1">
      <c r="A623" s="70"/>
      <c r="B623" s="70"/>
      <c r="C623" s="70"/>
      <c r="D623" s="70"/>
      <c r="E623" s="70"/>
      <c r="F623" s="70"/>
      <c r="G623" s="70"/>
      <c r="H623" s="70"/>
      <c r="I623" s="70"/>
      <c r="J623" s="70"/>
      <c r="K623" s="71"/>
      <c r="L623" s="70"/>
      <c r="M623" s="70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</row>
    <row r="624" spans="1:26" ht="12.75" customHeight="1">
      <c r="A624" s="70"/>
      <c r="B624" s="70"/>
      <c r="C624" s="70"/>
      <c r="D624" s="70"/>
      <c r="E624" s="70"/>
      <c r="F624" s="70"/>
      <c r="G624" s="70"/>
      <c r="H624" s="70"/>
      <c r="I624" s="70"/>
      <c r="J624" s="70"/>
      <c r="K624" s="71"/>
      <c r="L624" s="70"/>
      <c r="M624" s="70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</row>
    <row r="625" spans="1:26" ht="12.75" customHeight="1">
      <c r="A625" s="70"/>
      <c r="B625" s="70"/>
      <c r="C625" s="70"/>
      <c r="D625" s="70"/>
      <c r="E625" s="70"/>
      <c r="F625" s="70"/>
      <c r="G625" s="70"/>
      <c r="H625" s="70"/>
      <c r="I625" s="70"/>
      <c r="J625" s="70"/>
      <c r="K625" s="71"/>
      <c r="L625" s="70"/>
      <c r="M625" s="70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</row>
    <row r="626" spans="1:26" ht="12.75" customHeight="1">
      <c r="A626" s="70"/>
      <c r="B626" s="70"/>
      <c r="C626" s="70"/>
      <c r="D626" s="70"/>
      <c r="E626" s="70"/>
      <c r="F626" s="70"/>
      <c r="G626" s="70"/>
      <c r="H626" s="70"/>
      <c r="I626" s="70"/>
      <c r="J626" s="70"/>
      <c r="K626" s="71"/>
      <c r="L626" s="70"/>
      <c r="M626" s="70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</row>
    <row r="627" spans="1:26" ht="12.75" customHeight="1">
      <c r="A627" s="70"/>
      <c r="B627" s="70"/>
      <c r="C627" s="70"/>
      <c r="D627" s="70"/>
      <c r="E627" s="70"/>
      <c r="F627" s="70"/>
      <c r="G627" s="70"/>
      <c r="H627" s="70"/>
      <c r="I627" s="70"/>
      <c r="J627" s="70"/>
      <c r="K627" s="71"/>
      <c r="L627" s="70"/>
      <c r="M627" s="70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</row>
    <row r="628" spans="1:26" ht="12.75" customHeight="1">
      <c r="A628" s="70"/>
      <c r="B628" s="70"/>
      <c r="C628" s="70"/>
      <c r="D628" s="70"/>
      <c r="E628" s="70"/>
      <c r="F628" s="70"/>
      <c r="G628" s="70"/>
      <c r="H628" s="70"/>
      <c r="I628" s="70"/>
      <c r="J628" s="70"/>
      <c r="K628" s="71"/>
      <c r="L628" s="70"/>
      <c r="M628" s="70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</row>
    <row r="629" spans="1:26" ht="12.75" customHeight="1">
      <c r="A629" s="70"/>
      <c r="B629" s="70"/>
      <c r="C629" s="70"/>
      <c r="D629" s="70"/>
      <c r="E629" s="70"/>
      <c r="F629" s="70"/>
      <c r="G629" s="70"/>
      <c r="H629" s="70"/>
      <c r="I629" s="70"/>
      <c r="J629" s="70"/>
      <c r="K629" s="71"/>
      <c r="L629" s="70"/>
      <c r="M629" s="70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</row>
    <row r="630" spans="1:26" ht="12.75" customHeight="1">
      <c r="A630" s="70"/>
      <c r="B630" s="70"/>
      <c r="C630" s="70"/>
      <c r="D630" s="70"/>
      <c r="E630" s="70"/>
      <c r="F630" s="70"/>
      <c r="G630" s="70"/>
      <c r="H630" s="70"/>
      <c r="I630" s="70"/>
      <c r="J630" s="70"/>
      <c r="K630" s="71"/>
      <c r="L630" s="70"/>
      <c r="M630" s="70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</row>
    <row r="631" spans="1:26" ht="12.75" customHeight="1">
      <c r="A631" s="70"/>
      <c r="B631" s="70"/>
      <c r="C631" s="70"/>
      <c r="D631" s="70"/>
      <c r="E631" s="70"/>
      <c r="F631" s="70"/>
      <c r="G631" s="70"/>
      <c r="H631" s="70"/>
      <c r="I631" s="70"/>
      <c r="J631" s="70"/>
      <c r="K631" s="71"/>
      <c r="L631" s="70"/>
      <c r="M631" s="70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</row>
    <row r="632" spans="1:26" ht="12.75" customHeight="1">
      <c r="A632" s="70"/>
      <c r="B632" s="70"/>
      <c r="C632" s="70"/>
      <c r="D632" s="70"/>
      <c r="E632" s="70"/>
      <c r="F632" s="70"/>
      <c r="G632" s="70"/>
      <c r="H632" s="70"/>
      <c r="I632" s="70"/>
      <c r="J632" s="70"/>
      <c r="K632" s="71"/>
      <c r="L632" s="70"/>
      <c r="M632" s="70"/>
      <c r="N632" s="70"/>
      <c r="O632" s="70"/>
      <c r="P632" s="70"/>
      <c r="Q632" s="70"/>
      <c r="R632" s="70"/>
      <c r="S632" s="70"/>
      <c r="T632" s="70"/>
      <c r="U632" s="70"/>
      <c r="V632" s="70"/>
      <c r="W632" s="70"/>
      <c r="X632" s="70"/>
      <c r="Y632" s="70"/>
      <c r="Z632" s="70"/>
    </row>
    <row r="633" spans="1:26" ht="12.75" customHeight="1">
      <c r="A633" s="70"/>
      <c r="B633" s="70"/>
      <c r="C633" s="70"/>
      <c r="D633" s="70"/>
      <c r="E633" s="70"/>
      <c r="F633" s="70"/>
      <c r="G633" s="70"/>
      <c r="H633" s="70"/>
      <c r="I633" s="70"/>
      <c r="J633" s="70"/>
      <c r="K633" s="71"/>
      <c r="L633" s="70"/>
      <c r="M633" s="70"/>
      <c r="N633" s="70"/>
      <c r="O633" s="70"/>
      <c r="P633" s="70"/>
      <c r="Q633" s="70"/>
      <c r="R633" s="70"/>
      <c r="S633" s="70"/>
      <c r="T633" s="70"/>
      <c r="U633" s="70"/>
      <c r="V633" s="70"/>
      <c r="W633" s="70"/>
      <c r="X633" s="70"/>
      <c r="Y633" s="70"/>
      <c r="Z633" s="70"/>
    </row>
    <row r="634" spans="1:26" ht="12.75" customHeight="1">
      <c r="A634" s="70"/>
      <c r="B634" s="70"/>
      <c r="C634" s="70"/>
      <c r="D634" s="70"/>
      <c r="E634" s="70"/>
      <c r="F634" s="70"/>
      <c r="G634" s="70"/>
      <c r="H634" s="70"/>
      <c r="I634" s="70"/>
      <c r="J634" s="70"/>
      <c r="K634" s="71"/>
      <c r="L634" s="70"/>
      <c r="M634" s="70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</row>
    <row r="635" spans="1:26" ht="12.75" customHeight="1">
      <c r="A635" s="70"/>
      <c r="B635" s="70"/>
      <c r="C635" s="70"/>
      <c r="D635" s="70"/>
      <c r="E635" s="70"/>
      <c r="F635" s="70"/>
      <c r="G635" s="70"/>
      <c r="H635" s="70"/>
      <c r="I635" s="70"/>
      <c r="J635" s="70"/>
      <c r="K635" s="71"/>
      <c r="L635" s="70"/>
      <c r="M635" s="70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</row>
    <row r="636" spans="1:26" ht="12.75" customHeight="1">
      <c r="A636" s="70"/>
      <c r="B636" s="70"/>
      <c r="C636" s="70"/>
      <c r="D636" s="70"/>
      <c r="E636" s="70"/>
      <c r="F636" s="70"/>
      <c r="G636" s="70"/>
      <c r="H636" s="70"/>
      <c r="I636" s="70"/>
      <c r="J636" s="70"/>
      <c r="K636" s="71"/>
      <c r="L636" s="70"/>
      <c r="M636" s="70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</row>
    <row r="637" spans="1:26" ht="12.75" customHeight="1">
      <c r="A637" s="70"/>
      <c r="B637" s="70"/>
      <c r="C637" s="70"/>
      <c r="D637" s="70"/>
      <c r="E637" s="70"/>
      <c r="F637" s="70"/>
      <c r="G637" s="70"/>
      <c r="H637" s="70"/>
      <c r="I637" s="70"/>
      <c r="J637" s="70"/>
      <c r="K637" s="71"/>
      <c r="L637" s="70"/>
      <c r="M637" s="70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</row>
    <row r="638" spans="1:26" ht="12.75" customHeight="1">
      <c r="A638" s="70"/>
      <c r="B638" s="70"/>
      <c r="C638" s="70"/>
      <c r="D638" s="70"/>
      <c r="E638" s="70"/>
      <c r="F638" s="70"/>
      <c r="G638" s="70"/>
      <c r="H638" s="70"/>
      <c r="I638" s="70"/>
      <c r="J638" s="70"/>
      <c r="K638" s="71"/>
      <c r="L638" s="70"/>
      <c r="M638" s="70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</row>
    <row r="639" spans="1:26" ht="12.75" customHeight="1">
      <c r="A639" s="70"/>
      <c r="B639" s="70"/>
      <c r="C639" s="70"/>
      <c r="D639" s="70"/>
      <c r="E639" s="70"/>
      <c r="F639" s="70"/>
      <c r="G639" s="70"/>
      <c r="H639" s="70"/>
      <c r="I639" s="70"/>
      <c r="J639" s="70"/>
      <c r="K639" s="71"/>
      <c r="L639" s="70"/>
      <c r="M639" s="70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</row>
    <row r="640" spans="1:26" ht="12.75" customHeight="1">
      <c r="A640" s="70"/>
      <c r="B640" s="70"/>
      <c r="C640" s="70"/>
      <c r="D640" s="70"/>
      <c r="E640" s="70"/>
      <c r="F640" s="70"/>
      <c r="G640" s="70"/>
      <c r="H640" s="70"/>
      <c r="I640" s="70"/>
      <c r="J640" s="70"/>
      <c r="K640" s="71"/>
      <c r="L640" s="70"/>
      <c r="M640" s="70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</row>
    <row r="641" spans="1:26" ht="12.75" customHeight="1">
      <c r="A641" s="70"/>
      <c r="B641" s="70"/>
      <c r="C641" s="70"/>
      <c r="D641" s="70"/>
      <c r="E641" s="70"/>
      <c r="F641" s="70"/>
      <c r="G641" s="70"/>
      <c r="H641" s="70"/>
      <c r="I641" s="70"/>
      <c r="J641" s="70"/>
      <c r="K641" s="71"/>
      <c r="L641" s="70"/>
      <c r="M641" s="70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</row>
    <row r="642" spans="1:26" ht="12.75" customHeight="1">
      <c r="A642" s="70"/>
      <c r="B642" s="70"/>
      <c r="C642" s="70"/>
      <c r="D642" s="70"/>
      <c r="E642" s="70"/>
      <c r="F642" s="70"/>
      <c r="G642" s="70"/>
      <c r="H642" s="70"/>
      <c r="I642" s="70"/>
      <c r="J642" s="70"/>
      <c r="K642" s="71"/>
      <c r="L642" s="70"/>
      <c r="M642" s="70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</row>
    <row r="643" spans="1:26" ht="12.75" customHeight="1">
      <c r="A643" s="70"/>
      <c r="B643" s="70"/>
      <c r="C643" s="70"/>
      <c r="D643" s="70"/>
      <c r="E643" s="70"/>
      <c r="F643" s="70"/>
      <c r="G643" s="70"/>
      <c r="H643" s="70"/>
      <c r="I643" s="70"/>
      <c r="J643" s="70"/>
      <c r="K643" s="71"/>
      <c r="L643" s="70"/>
      <c r="M643" s="70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</row>
    <row r="644" spans="1:26" ht="12.75" customHeight="1">
      <c r="A644" s="70"/>
      <c r="B644" s="70"/>
      <c r="C644" s="70"/>
      <c r="D644" s="70"/>
      <c r="E644" s="70"/>
      <c r="F644" s="70"/>
      <c r="G644" s="70"/>
      <c r="H644" s="70"/>
      <c r="I644" s="70"/>
      <c r="J644" s="70"/>
      <c r="K644" s="71"/>
      <c r="L644" s="70"/>
      <c r="M644" s="70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</row>
    <row r="645" spans="1:26" ht="12.75" customHeight="1">
      <c r="A645" s="70"/>
      <c r="B645" s="70"/>
      <c r="C645" s="70"/>
      <c r="D645" s="70"/>
      <c r="E645" s="70"/>
      <c r="F645" s="70"/>
      <c r="G645" s="70"/>
      <c r="H645" s="70"/>
      <c r="I645" s="70"/>
      <c r="J645" s="70"/>
      <c r="K645" s="71"/>
      <c r="L645" s="70"/>
      <c r="M645" s="70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</row>
    <row r="646" spans="1:26" ht="12.75" customHeight="1">
      <c r="A646" s="70"/>
      <c r="B646" s="70"/>
      <c r="C646" s="70"/>
      <c r="D646" s="70"/>
      <c r="E646" s="70"/>
      <c r="F646" s="70"/>
      <c r="G646" s="70"/>
      <c r="H646" s="70"/>
      <c r="I646" s="70"/>
      <c r="J646" s="70"/>
      <c r="K646" s="71"/>
      <c r="L646" s="70"/>
      <c r="M646" s="70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</row>
    <row r="647" spans="1:26" ht="12.75" customHeight="1">
      <c r="A647" s="70"/>
      <c r="B647" s="70"/>
      <c r="C647" s="70"/>
      <c r="D647" s="70"/>
      <c r="E647" s="70"/>
      <c r="F647" s="70"/>
      <c r="G647" s="70"/>
      <c r="H647" s="70"/>
      <c r="I647" s="70"/>
      <c r="J647" s="70"/>
      <c r="K647" s="71"/>
      <c r="L647" s="70"/>
      <c r="M647" s="70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</row>
    <row r="648" spans="1:26" ht="12.75" customHeight="1">
      <c r="A648" s="70"/>
      <c r="B648" s="70"/>
      <c r="C648" s="70"/>
      <c r="D648" s="70"/>
      <c r="E648" s="70"/>
      <c r="F648" s="70"/>
      <c r="G648" s="70"/>
      <c r="H648" s="70"/>
      <c r="I648" s="70"/>
      <c r="J648" s="70"/>
      <c r="K648" s="71"/>
      <c r="L648" s="70"/>
      <c r="M648" s="70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</row>
    <row r="649" spans="1:26" ht="12.75" customHeight="1">
      <c r="A649" s="70"/>
      <c r="B649" s="70"/>
      <c r="C649" s="70"/>
      <c r="D649" s="70"/>
      <c r="E649" s="70"/>
      <c r="F649" s="70"/>
      <c r="G649" s="70"/>
      <c r="H649" s="70"/>
      <c r="I649" s="70"/>
      <c r="J649" s="70"/>
      <c r="K649" s="71"/>
      <c r="L649" s="70"/>
      <c r="M649" s="70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/>
      <c r="Y649" s="70"/>
      <c r="Z649" s="70"/>
    </row>
    <row r="650" spans="1:26" ht="12.75" customHeight="1">
      <c r="A650" s="70"/>
      <c r="B650" s="70"/>
      <c r="C650" s="70"/>
      <c r="D650" s="70"/>
      <c r="E650" s="70"/>
      <c r="F650" s="70"/>
      <c r="G650" s="70"/>
      <c r="H650" s="70"/>
      <c r="I650" s="70"/>
      <c r="J650" s="70"/>
      <c r="K650" s="71"/>
      <c r="L650" s="70"/>
      <c r="M650" s="70"/>
      <c r="N650" s="70"/>
      <c r="O650" s="70"/>
      <c r="P650" s="70"/>
      <c r="Q650" s="70"/>
      <c r="R650" s="70"/>
      <c r="S650" s="70"/>
      <c r="T650" s="70"/>
      <c r="U650" s="70"/>
      <c r="V650" s="70"/>
      <c r="W650" s="70"/>
      <c r="X650" s="70"/>
      <c r="Y650" s="70"/>
      <c r="Z650" s="70"/>
    </row>
    <row r="651" spans="1:26" ht="12.75" customHeight="1">
      <c r="A651" s="70"/>
      <c r="B651" s="70"/>
      <c r="C651" s="70"/>
      <c r="D651" s="70"/>
      <c r="E651" s="70"/>
      <c r="F651" s="70"/>
      <c r="G651" s="70"/>
      <c r="H651" s="70"/>
      <c r="I651" s="70"/>
      <c r="J651" s="70"/>
      <c r="K651" s="71"/>
      <c r="L651" s="70"/>
      <c r="M651" s="70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</row>
    <row r="652" spans="1:26" ht="12.75" customHeight="1">
      <c r="A652" s="70"/>
      <c r="B652" s="70"/>
      <c r="C652" s="70"/>
      <c r="D652" s="70"/>
      <c r="E652" s="70"/>
      <c r="F652" s="70"/>
      <c r="G652" s="70"/>
      <c r="H652" s="70"/>
      <c r="I652" s="70"/>
      <c r="J652" s="70"/>
      <c r="K652" s="71"/>
      <c r="L652" s="70"/>
      <c r="M652" s="70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</row>
    <row r="653" spans="1:26" ht="12.75" customHeight="1">
      <c r="A653" s="70"/>
      <c r="B653" s="70"/>
      <c r="C653" s="70"/>
      <c r="D653" s="70"/>
      <c r="E653" s="70"/>
      <c r="F653" s="70"/>
      <c r="G653" s="70"/>
      <c r="H653" s="70"/>
      <c r="I653" s="70"/>
      <c r="J653" s="70"/>
      <c r="K653" s="71"/>
      <c r="L653" s="70"/>
      <c r="M653" s="70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</row>
    <row r="654" spans="1:26" ht="12.75" customHeight="1">
      <c r="A654" s="70"/>
      <c r="B654" s="70"/>
      <c r="C654" s="70"/>
      <c r="D654" s="70"/>
      <c r="E654" s="70"/>
      <c r="F654" s="70"/>
      <c r="G654" s="70"/>
      <c r="H654" s="70"/>
      <c r="I654" s="70"/>
      <c r="J654" s="70"/>
      <c r="K654" s="71"/>
      <c r="L654" s="70"/>
      <c r="M654" s="70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</row>
    <row r="655" spans="1:26" ht="12.75" customHeight="1">
      <c r="A655" s="70"/>
      <c r="B655" s="70"/>
      <c r="C655" s="70"/>
      <c r="D655" s="70"/>
      <c r="E655" s="70"/>
      <c r="F655" s="70"/>
      <c r="G655" s="70"/>
      <c r="H655" s="70"/>
      <c r="I655" s="70"/>
      <c r="J655" s="70"/>
      <c r="K655" s="71"/>
      <c r="L655" s="70"/>
      <c r="M655" s="70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</row>
    <row r="656" spans="1:26" ht="12.75" customHeight="1">
      <c r="A656" s="70"/>
      <c r="B656" s="70"/>
      <c r="C656" s="70"/>
      <c r="D656" s="70"/>
      <c r="E656" s="70"/>
      <c r="F656" s="70"/>
      <c r="G656" s="70"/>
      <c r="H656" s="70"/>
      <c r="I656" s="70"/>
      <c r="J656" s="70"/>
      <c r="K656" s="71"/>
      <c r="L656" s="70"/>
      <c r="M656" s="70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/>
      <c r="Y656" s="70"/>
      <c r="Z656" s="70"/>
    </row>
    <row r="657" spans="1:26" ht="12.75" customHeight="1">
      <c r="A657" s="70"/>
      <c r="B657" s="70"/>
      <c r="C657" s="70"/>
      <c r="D657" s="70"/>
      <c r="E657" s="70"/>
      <c r="F657" s="70"/>
      <c r="G657" s="70"/>
      <c r="H657" s="70"/>
      <c r="I657" s="70"/>
      <c r="J657" s="70"/>
      <c r="K657" s="71"/>
      <c r="L657" s="70"/>
      <c r="M657" s="70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</row>
    <row r="658" spans="1:26" ht="12.75" customHeight="1">
      <c r="A658" s="70"/>
      <c r="B658" s="70"/>
      <c r="C658" s="70"/>
      <c r="D658" s="70"/>
      <c r="E658" s="70"/>
      <c r="F658" s="70"/>
      <c r="G658" s="70"/>
      <c r="H658" s="70"/>
      <c r="I658" s="70"/>
      <c r="J658" s="70"/>
      <c r="K658" s="71"/>
      <c r="L658" s="70"/>
      <c r="M658" s="70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/>
      <c r="Y658" s="70"/>
      <c r="Z658" s="70"/>
    </row>
    <row r="659" spans="1:26" ht="12.75" customHeight="1">
      <c r="A659" s="70"/>
      <c r="B659" s="70"/>
      <c r="C659" s="70"/>
      <c r="D659" s="70"/>
      <c r="E659" s="70"/>
      <c r="F659" s="70"/>
      <c r="G659" s="70"/>
      <c r="H659" s="70"/>
      <c r="I659" s="70"/>
      <c r="J659" s="70"/>
      <c r="K659" s="71"/>
      <c r="L659" s="70"/>
      <c r="M659" s="70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/>
      <c r="Y659" s="70"/>
      <c r="Z659" s="70"/>
    </row>
    <row r="660" spans="1:26" ht="12.75" customHeight="1">
      <c r="A660" s="70"/>
      <c r="B660" s="70"/>
      <c r="C660" s="70"/>
      <c r="D660" s="70"/>
      <c r="E660" s="70"/>
      <c r="F660" s="70"/>
      <c r="G660" s="70"/>
      <c r="H660" s="70"/>
      <c r="I660" s="70"/>
      <c r="J660" s="70"/>
      <c r="K660" s="71"/>
      <c r="L660" s="70"/>
      <c r="M660" s="70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</row>
    <row r="661" spans="1:26" ht="12.75" customHeight="1">
      <c r="A661" s="70"/>
      <c r="B661" s="70"/>
      <c r="C661" s="70"/>
      <c r="D661" s="70"/>
      <c r="E661" s="70"/>
      <c r="F661" s="70"/>
      <c r="G661" s="70"/>
      <c r="H661" s="70"/>
      <c r="I661" s="70"/>
      <c r="J661" s="70"/>
      <c r="K661" s="71"/>
      <c r="L661" s="70"/>
      <c r="M661" s="70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</row>
    <row r="662" spans="1:26" ht="12.75" customHeight="1">
      <c r="A662" s="70"/>
      <c r="B662" s="70"/>
      <c r="C662" s="70"/>
      <c r="D662" s="70"/>
      <c r="E662" s="70"/>
      <c r="F662" s="70"/>
      <c r="G662" s="70"/>
      <c r="H662" s="70"/>
      <c r="I662" s="70"/>
      <c r="J662" s="70"/>
      <c r="K662" s="71"/>
      <c r="L662" s="70"/>
      <c r="M662" s="70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</row>
    <row r="663" spans="1:26" ht="12.75" customHeight="1">
      <c r="A663" s="70"/>
      <c r="B663" s="70"/>
      <c r="C663" s="70"/>
      <c r="D663" s="70"/>
      <c r="E663" s="70"/>
      <c r="F663" s="70"/>
      <c r="G663" s="70"/>
      <c r="H663" s="70"/>
      <c r="I663" s="70"/>
      <c r="J663" s="70"/>
      <c r="K663" s="71"/>
      <c r="L663" s="70"/>
      <c r="M663" s="70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/>
      <c r="Y663" s="70"/>
      <c r="Z663" s="70"/>
    </row>
    <row r="664" spans="1:26" ht="12.75" customHeight="1">
      <c r="A664" s="70"/>
      <c r="B664" s="70"/>
      <c r="C664" s="70"/>
      <c r="D664" s="70"/>
      <c r="E664" s="70"/>
      <c r="F664" s="70"/>
      <c r="G664" s="70"/>
      <c r="H664" s="70"/>
      <c r="I664" s="70"/>
      <c r="J664" s="70"/>
      <c r="K664" s="71"/>
      <c r="L664" s="70"/>
      <c r="M664" s="70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/>
      <c r="Y664" s="70"/>
      <c r="Z664" s="70"/>
    </row>
    <row r="665" spans="1:26" ht="12.75" customHeight="1">
      <c r="A665" s="70"/>
      <c r="B665" s="70"/>
      <c r="C665" s="70"/>
      <c r="D665" s="70"/>
      <c r="E665" s="70"/>
      <c r="F665" s="70"/>
      <c r="G665" s="70"/>
      <c r="H665" s="70"/>
      <c r="I665" s="70"/>
      <c r="J665" s="70"/>
      <c r="K665" s="71"/>
      <c r="L665" s="70"/>
      <c r="M665" s="70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</row>
    <row r="666" spans="1:26" ht="12.75" customHeight="1">
      <c r="A666" s="70"/>
      <c r="B666" s="70"/>
      <c r="C666" s="70"/>
      <c r="D666" s="70"/>
      <c r="E666" s="70"/>
      <c r="F666" s="70"/>
      <c r="G666" s="70"/>
      <c r="H666" s="70"/>
      <c r="I666" s="70"/>
      <c r="J666" s="70"/>
      <c r="K666" s="71"/>
      <c r="L666" s="70"/>
      <c r="M666" s="70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/>
      <c r="Y666" s="70"/>
      <c r="Z666" s="70"/>
    </row>
    <row r="667" spans="1:26" ht="12.75" customHeight="1">
      <c r="A667" s="70"/>
      <c r="B667" s="70"/>
      <c r="C667" s="70"/>
      <c r="D667" s="70"/>
      <c r="E667" s="70"/>
      <c r="F667" s="70"/>
      <c r="G667" s="70"/>
      <c r="H667" s="70"/>
      <c r="I667" s="70"/>
      <c r="J667" s="70"/>
      <c r="K667" s="71"/>
      <c r="L667" s="70"/>
      <c r="M667" s="70"/>
      <c r="N667" s="70"/>
      <c r="O667" s="70"/>
      <c r="P667" s="70"/>
      <c r="Q667" s="70"/>
      <c r="R667" s="70"/>
      <c r="S667" s="70"/>
      <c r="T667" s="70"/>
      <c r="U667" s="70"/>
      <c r="V667" s="70"/>
      <c r="W667" s="70"/>
      <c r="X667" s="70"/>
      <c r="Y667" s="70"/>
      <c r="Z667" s="70"/>
    </row>
    <row r="668" spans="1:26" ht="12.75" customHeight="1">
      <c r="A668" s="70"/>
      <c r="B668" s="70"/>
      <c r="C668" s="70"/>
      <c r="D668" s="70"/>
      <c r="E668" s="70"/>
      <c r="F668" s="70"/>
      <c r="G668" s="70"/>
      <c r="H668" s="70"/>
      <c r="I668" s="70"/>
      <c r="J668" s="70"/>
      <c r="K668" s="71"/>
      <c r="L668" s="70"/>
      <c r="M668" s="70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</row>
    <row r="669" spans="1:26" ht="12.75" customHeight="1">
      <c r="A669" s="70"/>
      <c r="B669" s="70"/>
      <c r="C669" s="70"/>
      <c r="D669" s="70"/>
      <c r="E669" s="70"/>
      <c r="F669" s="70"/>
      <c r="G669" s="70"/>
      <c r="H669" s="70"/>
      <c r="I669" s="70"/>
      <c r="J669" s="70"/>
      <c r="K669" s="71"/>
      <c r="L669" s="70"/>
      <c r="M669" s="70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</row>
    <row r="670" spans="1:26" ht="12.75" customHeight="1">
      <c r="A670" s="70"/>
      <c r="B670" s="70"/>
      <c r="C670" s="70"/>
      <c r="D670" s="70"/>
      <c r="E670" s="70"/>
      <c r="F670" s="70"/>
      <c r="G670" s="70"/>
      <c r="H670" s="70"/>
      <c r="I670" s="70"/>
      <c r="J670" s="70"/>
      <c r="K670" s="71"/>
      <c r="L670" s="70"/>
      <c r="M670" s="70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</row>
    <row r="671" spans="1:26" ht="12.75" customHeight="1">
      <c r="A671" s="70"/>
      <c r="B671" s="70"/>
      <c r="C671" s="70"/>
      <c r="D671" s="70"/>
      <c r="E671" s="70"/>
      <c r="F671" s="70"/>
      <c r="G671" s="70"/>
      <c r="H671" s="70"/>
      <c r="I671" s="70"/>
      <c r="J671" s="70"/>
      <c r="K671" s="71"/>
      <c r="L671" s="70"/>
      <c r="M671" s="70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</row>
    <row r="672" spans="1:26" ht="12.75" customHeight="1">
      <c r="A672" s="70"/>
      <c r="B672" s="70"/>
      <c r="C672" s="70"/>
      <c r="D672" s="70"/>
      <c r="E672" s="70"/>
      <c r="F672" s="70"/>
      <c r="G672" s="70"/>
      <c r="H672" s="70"/>
      <c r="I672" s="70"/>
      <c r="J672" s="70"/>
      <c r="K672" s="71"/>
      <c r="L672" s="70"/>
      <c r="M672" s="70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</row>
    <row r="673" spans="1:26" ht="12.75" customHeight="1">
      <c r="A673" s="70"/>
      <c r="B673" s="70"/>
      <c r="C673" s="70"/>
      <c r="D673" s="70"/>
      <c r="E673" s="70"/>
      <c r="F673" s="70"/>
      <c r="G673" s="70"/>
      <c r="H673" s="70"/>
      <c r="I673" s="70"/>
      <c r="J673" s="70"/>
      <c r="K673" s="71"/>
      <c r="L673" s="70"/>
      <c r="M673" s="70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</row>
    <row r="674" spans="1:26" ht="12.75" customHeight="1">
      <c r="A674" s="70"/>
      <c r="B674" s="70"/>
      <c r="C674" s="70"/>
      <c r="D674" s="70"/>
      <c r="E674" s="70"/>
      <c r="F674" s="70"/>
      <c r="G674" s="70"/>
      <c r="H674" s="70"/>
      <c r="I674" s="70"/>
      <c r="J674" s="70"/>
      <c r="K674" s="71"/>
      <c r="L674" s="70"/>
      <c r="M674" s="70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</row>
    <row r="675" spans="1:26" ht="12.75" customHeight="1">
      <c r="A675" s="70"/>
      <c r="B675" s="70"/>
      <c r="C675" s="70"/>
      <c r="D675" s="70"/>
      <c r="E675" s="70"/>
      <c r="F675" s="70"/>
      <c r="G675" s="70"/>
      <c r="H675" s="70"/>
      <c r="I675" s="70"/>
      <c r="J675" s="70"/>
      <c r="K675" s="71"/>
      <c r="L675" s="70"/>
      <c r="M675" s="70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</row>
    <row r="676" spans="1:26" ht="12.75" customHeight="1">
      <c r="A676" s="70"/>
      <c r="B676" s="70"/>
      <c r="C676" s="70"/>
      <c r="D676" s="70"/>
      <c r="E676" s="70"/>
      <c r="F676" s="70"/>
      <c r="G676" s="70"/>
      <c r="H676" s="70"/>
      <c r="I676" s="70"/>
      <c r="J676" s="70"/>
      <c r="K676" s="71"/>
      <c r="L676" s="70"/>
      <c r="M676" s="70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</row>
    <row r="677" spans="1:26" ht="12.75" customHeight="1">
      <c r="A677" s="70"/>
      <c r="B677" s="70"/>
      <c r="C677" s="70"/>
      <c r="D677" s="70"/>
      <c r="E677" s="70"/>
      <c r="F677" s="70"/>
      <c r="G677" s="70"/>
      <c r="H677" s="70"/>
      <c r="I677" s="70"/>
      <c r="J677" s="70"/>
      <c r="K677" s="71"/>
      <c r="L677" s="70"/>
      <c r="M677" s="70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</row>
    <row r="678" spans="1:26" ht="12.75" customHeight="1">
      <c r="A678" s="70"/>
      <c r="B678" s="70"/>
      <c r="C678" s="70"/>
      <c r="D678" s="70"/>
      <c r="E678" s="70"/>
      <c r="F678" s="70"/>
      <c r="G678" s="70"/>
      <c r="H678" s="70"/>
      <c r="I678" s="70"/>
      <c r="J678" s="70"/>
      <c r="K678" s="71"/>
      <c r="L678" s="70"/>
      <c r="M678" s="70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</row>
    <row r="679" spans="1:26" ht="12.75" customHeight="1">
      <c r="A679" s="70"/>
      <c r="B679" s="70"/>
      <c r="C679" s="70"/>
      <c r="D679" s="70"/>
      <c r="E679" s="70"/>
      <c r="F679" s="70"/>
      <c r="G679" s="70"/>
      <c r="H679" s="70"/>
      <c r="I679" s="70"/>
      <c r="J679" s="70"/>
      <c r="K679" s="71"/>
      <c r="L679" s="70"/>
      <c r="M679" s="70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</row>
    <row r="680" spans="1:26" ht="12.75" customHeight="1">
      <c r="A680" s="70"/>
      <c r="B680" s="70"/>
      <c r="C680" s="70"/>
      <c r="D680" s="70"/>
      <c r="E680" s="70"/>
      <c r="F680" s="70"/>
      <c r="G680" s="70"/>
      <c r="H680" s="70"/>
      <c r="I680" s="70"/>
      <c r="J680" s="70"/>
      <c r="K680" s="71"/>
      <c r="L680" s="70"/>
      <c r="M680" s="70"/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</row>
    <row r="681" spans="1:26" ht="12.75" customHeight="1">
      <c r="A681" s="70"/>
      <c r="B681" s="70"/>
      <c r="C681" s="70"/>
      <c r="D681" s="70"/>
      <c r="E681" s="70"/>
      <c r="F681" s="70"/>
      <c r="G681" s="70"/>
      <c r="H681" s="70"/>
      <c r="I681" s="70"/>
      <c r="J681" s="70"/>
      <c r="K681" s="71"/>
      <c r="L681" s="70"/>
      <c r="M681" s="70"/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</row>
    <row r="682" spans="1:26" ht="12.75" customHeight="1">
      <c r="A682" s="70"/>
      <c r="B682" s="70"/>
      <c r="C682" s="70"/>
      <c r="D682" s="70"/>
      <c r="E682" s="70"/>
      <c r="F682" s="70"/>
      <c r="G682" s="70"/>
      <c r="H682" s="70"/>
      <c r="I682" s="70"/>
      <c r="J682" s="70"/>
      <c r="K682" s="71"/>
      <c r="L682" s="70"/>
      <c r="M682" s="70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</row>
    <row r="683" spans="1:26" ht="12.75" customHeight="1">
      <c r="A683" s="70"/>
      <c r="B683" s="70"/>
      <c r="C683" s="70"/>
      <c r="D683" s="70"/>
      <c r="E683" s="70"/>
      <c r="F683" s="70"/>
      <c r="G683" s="70"/>
      <c r="H683" s="70"/>
      <c r="I683" s="70"/>
      <c r="J683" s="70"/>
      <c r="K683" s="71"/>
      <c r="L683" s="70"/>
      <c r="M683" s="70"/>
      <c r="N683" s="70"/>
      <c r="O683" s="70"/>
      <c r="P683" s="70"/>
      <c r="Q683" s="70"/>
      <c r="R683" s="70"/>
      <c r="S683" s="70"/>
      <c r="T683" s="70"/>
      <c r="U683" s="70"/>
      <c r="V683" s="70"/>
      <c r="W683" s="70"/>
      <c r="X683" s="70"/>
      <c r="Y683" s="70"/>
      <c r="Z683" s="70"/>
    </row>
    <row r="684" spans="1:26" ht="12.75" customHeight="1">
      <c r="A684" s="70"/>
      <c r="B684" s="70"/>
      <c r="C684" s="70"/>
      <c r="D684" s="70"/>
      <c r="E684" s="70"/>
      <c r="F684" s="70"/>
      <c r="G684" s="70"/>
      <c r="H684" s="70"/>
      <c r="I684" s="70"/>
      <c r="J684" s="70"/>
      <c r="K684" s="71"/>
      <c r="L684" s="70"/>
      <c r="M684" s="70"/>
      <c r="N684" s="70"/>
      <c r="O684" s="70"/>
      <c r="P684" s="70"/>
      <c r="Q684" s="70"/>
      <c r="R684" s="70"/>
      <c r="S684" s="70"/>
      <c r="T684" s="70"/>
      <c r="U684" s="70"/>
      <c r="V684" s="70"/>
      <c r="W684" s="70"/>
      <c r="X684" s="70"/>
      <c r="Y684" s="70"/>
      <c r="Z684" s="70"/>
    </row>
    <row r="685" spans="1:26" ht="12.75" customHeight="1">
      <c r="A685" s="70"/>
      <c r="B685" s="70"/>
      <c r="C685" s="70"/>
      <c r="D685" s="70"/>
      <c r="E685" s="70"/>
      <c r="F685" s="70"/>
      <c r="G685" s="70"/>
      <c r="H685" s="70"/>
      <c r="I685" s="70"/>
      <c r="J685" s="70"/>
      <c r="K685" s="71"/>
      <c r="L685" s="70"/>
      <c r="M685" s="70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</row>
    <row r="686" spans="1:26" ht="12.75" customHeight="1">
      <c r="A686" s="70"/>
      <c r="B686" s="70"/>
      <c r="C686" s="70"/>
      <c r="D686" s="70"/>
      <c r="E686" s="70"/>
      <c r="F686" s="70"/>
      <c r="G686" s="70"/>
      <c r="H686" s="70"/>
      <c r="I686" s="70"/>
      <c r="J686" s="70"/>
      <c r="K686" s="71"/>
      <c r="L686" s="70"/>
      <c r="M686" s="70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</row>
    <row r="687" spans="1:26" ht="12.75" customHeight="1">
      <c r="A687" s="70"/>
      <c r="B687" s="70"/>
      <c r="C687" s="70"/>
      <c r="D687" s="70"/>
      <c r="E687" s="70"/>
      <c r="F687" s="70"/>
      <c r="G687" s="70"/>
      <c r="H687" s="70"/>
      <c r="I687" s="70"/>
      <c r="J687" s="70"/>
      <c r="K687" s="71"/>
      <c r="L687" s="70"/>
      <c r="M687" s="70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</row>
    <row r="688" spans="1:26" ht="12.75" customHeight="1">
      <c r="A688" s="70"/>
      <c r="B688" s="70"/>
      <c r="C688" s="70"/>
      <c r="D688" s="70"/>
      <c r="E688" s="70"/>
      <c r="F688" s="70"/>
      <c r="G688" s="70"/>
      <c r="H688" s="70"/>
      <c r="I688" s="70"/>
      <c r="J688" s="70"/>
      <c r="K688" s="71"/>
      <c r="L688" s="70"/>
      <c r="M688" s="70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</row>
    <row r="689" spans="1:26" ht="12.75" customHeight="1">
      <c r="A689" s="70"/>
      <c r="B689" s="70"/>
      <c r="C689" s="70"/>
      <c r="D689" s="70"/>
      <c r="E689" s="70"/>
      <c r="F689" s="70"/>
      <c r="G689" s="70"/>
      <c r="H689" s="70"/>
      <c r="I689" s="70"/>
      <c r="J689" s="70"/>
      <c r="K689" s="71"/>
      <c r="L689" s="70"/>
      <c r="M689" s="70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</row>
    <row r="690" spans="1:26" ht="12.75" customHeight="1">
      <c r="A690" s="70"/>
      <c r="B690" s="70"/>
      <c r="C690" s="70"/>
      <c r="D690" s="70"/>
      <c r="E690" s="70"/>
      <c r="F690" s="70"/>
      <c r="G690" s="70"/>
      <c r="H690" s="70"/>
      <c r="I690" s="70"/>
      <c r="J690" s="70"/>
      <c r="K690" s="71"/>
      <c r="L690" s="70"/>
      <c r="M690" s="70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</row>
    <row r="691" spans="1:26" ht="12.75" customHeight="1">
      <c r="A691" s="70"/>
      <c r="B691" s="70"/>
      <c r="C691" s="70"/>
      <c r="D691" s="70"/>
      <c r="E691" s="70"/>
      <c r="F691" s="70"/>
      <c r="G691" s="70"/>
      <c r="H691" s="70"/>
      <c r="I691" s="70"/>
      <c r="J691" s="70"/>
      <c r="K691" s="71"/>
      <c r="L691" s="70"/>
      <c r="M691" s="70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</row>
    <row r="692" spans="1:26" ht="12.75" customHeight="1">
      <c r="A692" s="70"/>
      <c r="B692" s="70"/>
      <c r="C692" s="70"/>
      <c r="D692" s="70"/>
      <c r="E692" s="70"/>
      <c r="F692" s="70"/>
      <c r="G692" s="70"/>
      <c r="H692" s="70"/>
      <c r="I692" s="70"/>
      <c r="J692" s="70"/>
      <c r="K692" s="71"/>
      <c r="L692" s="70"/>
      <c r="M692" s="70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</row>
    <row r="693" spans="1:26" ht="12.75" customHeight="1">
      <c r="A693" s="70"/>
      <c r="B693" s="70"/>
      <c r="C693" s="70"/>
      <c r="D693" s="70"/>
      <c r="E693" s="70"/>
      <c r="F693" s="70"/>
      <c r="G693" s="70"/>
      <c r="H693" s="70"/>
      <c r="I693" s="70"/>
      <c r="J693" s="70"/>
      <c r="K693" s="71"/>
      <c r="L693" s="70"/>
      <c r="M693" s="70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</row>
    <row r="694" spans="1:26" ht="12.75" customHeight="1">
      <c r="A694" s="70"/>
      <c r="B694" s="70"/>
      <c r="C694" s="70"/>
      <c r="D694" s="70"/>
      <c r="E694" s="70"/>
      <c r="F694" s="70"/>
      <c r="G694" s="70"/>
      <c r="H694" s="70"/>
      <c r="I694" s="70"/>
      <c r="J694" s="70"/>
      <c r="K694" s="71"/>
      <c r="L694" s="70"/>
      <c r="M694" s="70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</row>
    <row r="695" spans="1:26" ht="12.75" customHeight="1">
      <c r="A695" s="70"/>
      <c r="B695" s="70"/>
      <c r="C695" s="70"/>
      <c r="D695" s="70"/>
      <c r="E695" s="70"/>
      <c r="F695" s="70"/>
      <c r="G695" s="70"/>
      <c r="H695" s="70"/>
      <c r="I695" s="70"/>
      <c r="J695" s="70"/>
      <c r="K695" s="71"/>
      <c r="L695" s="70"/>
      <c r="M695" s="70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</row>
    <row r="696" spans="1:26" ht="12.75" customHeight="1">
      <c r="A696" s="70"/>
      <c r="B696" s="70"/>
      <c r="C696" s="70"/>
      <c r="D696" s="70"/>
      <c r="E696" s="70"/>
      <c r="F696" s="70"/>
      <c r="G696" s="70"/>
      <c r="H696" s="70"/>
      <c r="I696" s="70"/>
      <c r="J696" s="70"/>
      <c r="K696" s="71"/>
      <c r="L696" s="70"/>
      <c r="M696" s="70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</row>
    <row r="697" spans="1:26" ht="12.75" customHeight="1">
      <c r="A697" s="70"/>
      <c r="B697" s="70"/>
      <c r="C697" s="70"/>
      <c r="D697" s="70"/>
      <c r="E697" s="70"/>
      <c r="F697" s="70"/>
      <c r="G697" s="70"/>
      <c r="H697" s="70"/>
      <c r="I697" s="70"/>
      <c r="J697" s="70"/>
      <c r="K697" s="71"/>
      <c r="L697" s="70"/>
      <c r="M697" s="70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</row>
    <row r="698" spans="1:26" ht="12.75" customHeight="1">
      <c r="A698" s="70"/>
      <c r="B698" s="70"/>
      <c r="C698" s="70"/>
      <c r="D698" s="70"/>
      <c r="E698" s="70"/>
      <c r="F698" s="70"/>
      <c r="G698" s="70"/>
      <c r="H698" s="70"/>
      <c r="I698" s="70"/>
      <c r="J698" s="70"/>
      <c r="K698" s="71"/>
      <c r="L698" s="70"/>
      <c r="M698" s="70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</row>
    <row r="699" spans="1:26" ht="12.75" customHeight="1">
      <c r="A699" s="70"/>
      <c r="B699" s="70"/>
      <c r="C699" s="70"/>
      <c r="D699" s="70"/>
      <c r="E699" s="70"/>
      <c r="F699" s="70"/>
      <c r="G699" s="70"/>
      <c r="H699" s="70"/>
      <c r="I699" s="70"/>
      <c r="J699" s="70"/>
      <c r="K699" s="71"/>
      <c r="L699" s="70"/>
      <c r="M699" s="70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</row>
    <row r="700" spans="1:26" ht="12.75" customHeight="1">
      <c r="A700" s="70"/>
      <c r="B700" s="70"/>
      <c r="C700" s="70"/>
      <c r="D700" s="70"/>
      <c r="E700" s="70"/>
      <c r="F700" s="70"/>
      <c r="G700" s="70"/>
      <c r="H700" s="70"/>
      <c r="I700" s="70"/>
      <c r="J700" s="70"/>
      <c r="K700" s="71"/>
      <c r="L700" s="70"/>
      <c r="M700" s="70"/>
      <c r="N700" s="70"/>
      <c r="O700" s="70"/>
      <c r="P700" s="70"/>
      <c r="Q700" s="70"/>
      <c r="R700" s="70"/>
      <c r="S700" s="70"/>
      <c r="T700" s="70"/>
      <c r="U700" s="70"/>
      <c r="V700" s="70"/>
      <c r="W700" s="70"/>
      <c r="X700" s="70"/>
      <c r="Y700" s="70"/>
      <c r="Z700" s="70"/>
    </row>
    <row r="701" spans="1:26" ht="12.75" customHeight="1">
      <c r="A701" s="70"/>
      <c r="B701" s="70"/>
      <c r="C701" s="70"/>
      <c r="D701" s="70"/>
      <c r="E701" s="70"/>
      <c r="F701" s="70"/>
      <c r="G701" s="70"/>
      <c r="H701" s="70"/>
      <c r="I701" s="70"/>
      <c r="J701" s="70"/>
      <c r="K701" s="71"/>
      <c r="L701" s="70"/>
      <c r="M701" s="70"/>
      <c r="N701" s="70"/>
      <c r="O701" s="70"/>
      <c r="P701" s="70"/>
      <c r="Q701" s="70"/>
      <c r="R701" s="70"/>
      <c r="S701" s="70"/>
      <c r="T701" s="70"/>
      <c r="U701" s="70"/>
      <c r="V701" s="70"/>
      <c r="W701" s="70"/>
      <c r="X701" s="70"/>
      <c r="Y701" s="70"/>
      <c r="Z701" s="70"/>
    </row>
    <row r="702" spans="1:26" ht="12.75" customHeight="1">
      <c r="A702" s="70"/>
      <c r="B702" s="70"/>
      <c r="C702" s="70"/>
      <c r="D702" s="70"/>
      <c r="E702" s="70"/>
      <c r="F702" s="70"/>
      <c r="G702" s="70"/>
      <c r="H702" s="70"/>
      <c r="I702" s="70"/>
      <c r="J702" s="70"/>
      <c r="K702" s="71"/>
      <c r="L702" s="70"/>
      <c r="M702" s="70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/>
      <c r="Y702" s="70"/>
      <c r="Z702" s="70"/>
    </row>
    <row r="703" spans="1:26" ht="12.75" customHeight="1">
      <c r="A703" s="70"/>
      <c r="B703" s="70"/>
      <c r="C703" s="70"/>
      <c r="D703" s="70"/>
      <c r="E703" s="70"/>
      <c r="F703" s="70"/>
      <c r="G703" s="70"/>
      <c r="H703" s="70"/>
      <c r="I703" s="70"/>
      <c r="J703" s="70"/>
      <c r="K703" s="71"/>
      <c r="L703" s="70"/>
      <c r="M703" s="70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/>
      <c r="Y703" s="70"/>
      <c r="Z703" s="70"/>
    </row>
    <row r="704" spans="1:26" ht="12.75" customHeight="1">
      <c r="A704" s="70"/>
      <c r="B704" s="70"/>
      <c r="C704" s="70"/>
      <c r="D704" s="70"/>
      <c r="E704" s="70"/>
      <c r="F704" s="70"/>
      <c r="G704" s="70"/>
      <c r="H704" s="70"/>
      <c r="I704" s="70"/>
      <c r="J704" s="70"/>
      <c r="K704" s="71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</row>
    <row r="705" spans="1:26" ht="12.75" customHeight="1">
      <c r="A705" s="70"/>
      <c r="B705" s="70"/>
      <c r="C705" s="70"/>
      <c r="D705" s="70"/>
      <c r="E705" s="70"/>
      <c r="F705" s="70"/>
      <c r="G705" s="70"/>
      <c r="H705" s="70"/>
      <c r="I705" s="70"/>
      <c r="J705" s="70"/>
      <c r="K705" s="71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</row>
    <row r="706" spans="1:26" ht="12.75" customHeight="1">
      <c r="A706" s="70"/>
      <c r="B706" s="70"/>
      <c r="C706" s="70"/>
      <c r="D706" s="70"/>
      <c r="E706" s="70"/>
      <c r="F706" s="70"/>
      <c r="G706" s="70"/>
      <c r="H706" s="70"/>
      <c r="I706" s="70"/>
      <c r="J706" s="70"/>
      <c r="K706" s="71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</row>
    <row r="707" spans="1:26" ht="12.75" customHeight="1">
      <c r="A707" s="70"/>
      <c r="B707" s="70"/>
      <c r="C707" s="70"/>
      <c r="D707" s="70"/>
      <c r="E707" s="70"/>
      <c r="F707" s="70"/>
      <c r="G707" s="70"/>
      <c r="H707" s="70"/>
      <c r="I707" s="70"/>
      <c r="J707" s="70"/>
      <c r="K707" s="71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</row>
    <row r="708" spans="1:26" ht="12.75" customHeight="1">
      <c r="A708" s="70"/>
      <c r="B708" s="70"/>
      <c r="C708" s="70"/>
      <c r="D708" s="70"/>
      <c r="E708" s="70"/>
      <c r="F708" s="70"/>
      <c r="G708" s="70"/>
      <c r="H708" s="70"/>
      <c r="I708" s="70"/>
      <c r="J708" s="70"/>
      <c r="K708" s="71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</row>
    <row r="709" spans="1:26" ht="12.75" customHeight="1">
      <c r="A709" s="70"/>
      <c r="B709" s="70"/>
      <c r="C709" s="70"/>
      <c r="D709" s="70"/>
      <c r="E709" s="70"/>
      <c r="F709" s="70"/>
      <c r="G709" s="70"/>
      <c r="H709" s="70"/>
      <c r="I709" s="70"/>
      <c r="J709" s="70"/>
      <c r="K709" s="71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</row>
    <row r="710" spans="1:26" ht="12.75" customHeight="1">
      <c r="A710" s="70"/>
      <c r="B710" s="70"/>
      <c r="C710" s="70"/>
      <c r="D710" s="70"/>
      <c r="E710" s="70"/>
      <c r="F710" s="70"/>
      <c r="G710" s="70"/>
      <c r="H710" s="70"/>
      <c r="I710" s="70"/>
      <c r="J710" s="70"/>
      <c r="K710" s="71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</row>
    <row r="711" spans="1:26" ht="12.75" customHeight="1">
      <c r="A711" s="70"/>
      <c r="B711" s="70"/>
      <c r="C711" s="70"/>
      <c r="D711" s="70"/>
      <c r="E711" s="70"/>
      <c r="F711" s="70"/>
      <c r="G711" s="70"/>
      <c r="H711" s="70"/>
      <c r="I711" s="70"/>
      <c r="J711" s="70"/>
      <c r="K711" s="71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</row>
    <row r="712" spans="1:26" ht="12.75" customHeight="1">
      <c r="A712" s="70"/>
      <c r="B712" s="70"/>
      <c r="C712" s="70"/>
      <c r="D712" s="70"/>
      <c r="E712" s="70"/>
      <c r="F712" s="70"/>
      <c r="G712" s="70"/>
      <c r="H712" s="70"/>
      <c r="I712" s="70"/>
      <c r="J712" s="70"/>
      <c r="K712" s="71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</row>
    <row r="713" spans="1:26" ht="12.75" customHeight="1">
      <c r="A713" s="70"/>
      <c r="B713" s="70"/>
      <c r="C713" s="70"/>
      <c r="D713" s="70"/>
      <c r="E713" s="70"/>
      <c r="F713" s="70"/>
      <c r="G713" s="70"/>
      <c r="H713" s="70"/>
      <c r="I713" s="70"/>
      <c r="J713" s="70"/>
      <c r="K713" s="71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</row>
    <row r="714" spans="1:26" ht="12.75" customHeight="1">
      <c r="A714" s="70"/>
      <c r="B714" s="70"/>
      <c r="C714" s="70"/>
      <c r="D714" s="70"/>
      <c r="E714" s="70"/>
      <c r="F714" s="70"/>
      <c r="G714" s="70"/>
      <c r="H714" s="70"/>
      <c r="I714" s="70"/>
      <c r="J714" s="70"/>
      <c r="K714" s="71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</row>
    <row r="715" spans="1:26" ht="12.75" customHeight="1">
      <c r="A715" s="70"/>
      <c r="B715" s="70"/>
      <c r="C715" s="70"/>
      <c r="D715" s="70"/>
      <c r="E715" s="70"/>
      <c r="F715" s="70"/>
      <c r="G715" s="70"/>
      <c r="H715" s="70"/>
      <c r="I715" s="70"/>
      <c r="J715" s="70"/>
      <c r="K715" s="71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</row>
    <row r="716" spans="1:26" ht="12.75" customHeight="1">
      <c r="A716" s="70"/>
      <c r="B716" s="70"/>
      <c r="C716" s="70"/>
      <c r="D716" s="70"/>
      <c r="E716" s="70"/>
      <c r="F716" s="70"/>
      <c r="G716" s="70"/>
      <c r="H716" s="70"/>
      <c r="I716" s="70"/>
      <c r="J716" s="70"/>
      <c r="K716" s="71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</row>
    <row r="717" spans="1:26" ht="12.75" customHeight="1">
      <c r="A717" s="70"/>
      <c r="B717" s="70"/>
      <c r="C717" s="70"/>
      <c r="D717" s="70"/>
      <c r="E717" s="70"/>
      <c r="F717" s="70"/>
      <c r="G717" s="70"/>
      <c r="H717" s="70"/>
      <c r="I717" s="70"/>
      <c r="J717" s="70"/>
      <c r="K717" s="71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</row>
    <row r="718" spans="1:26" ht="12.75" customHeight="1">
      <c r="A718" s="70"/>
      <c r="B718" s="70"/>
      <c r="C718" s="70"/>
      <c r="D718" s="70"/>
      <c r="E718" s="70"/>
      <c r="F718" s="70"/>
      <c r="G718" s="70"/>
      <c r="H718" s="70"/>
      <c r="I718" s="70"/>
      <c r="J718" s="70"/>
      <c r="K718" s="71"/>
      <c r="L718" s="70"/>
      <c r="M718" s="70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</row>
    <row r="719" spans="1:26" ht="12.75" customHeight="1">
      <c r="A719" s="70"/>
      <c r="B719" s="70"/>
      <c r="C719" s="70"/>
      <c r="D719" s="70"/>
      <c r="E719" s="70"/>
      <c r="F719" s="70"/>
      <c r="G719" s="70"/>
      <c r="H719" s="70"/>
      <c r="I719" s="70"/>
      <c r="J719" s="70"/>
      <c r="K719" s="71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</row>
    <row r="720" spans="1:26" ht="12.75" customHeight="1">
      <c r="A720" s="70"/>
      <c r="B720" s="70"/>
      <c r="C720" s="70"/>
      <c r="D720" s="70"/>
      <c r="E720" s="70"/>
      <c r="F720" s="70"/>
      <c r="G720" s="70"/>
      <c r="H720" s="70"/>
      <c r="I720" s="70"/>
      <c r="J720" s="70"/>
      <c r="K720" s="71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</row>
    <row r="721" spans="1:26" ht="12.75" customHeight="1">
      <c r="A721" s="70"/>
      <c r="B721" s="70"/>
      <c r="C721" s="70"/>
      <c r="D721" s="70"/>
      <c r="E721" s="70"/>
      <c r="F721" s="70"/>
      <c r="G721" s="70"/>
      <c r="H721" s="70"/>
      <c r="I721" s="70"/>
      <c r="J721" s="70"/>
      <c r="K721" s="71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</row>
    <row r="722" spans="1:26" ht="12.75" customHeight="1">
      <c r="A722" s="70"/>
      <c r="B722" s="70"/>
      <c r="C722" s="70"/>
      <c r="D722" s="70"/>
      <c r="E722" s="70"/>
      <c r="F722" s="70"/>
      <c r="G722" s="70"/>
      <c r="H722" s="70"/>
      <c r="I722" s="70"/>
      <c r="J722" s="70"/>
      <c r="K722" s="71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</row>
    <row r="723" spans="1:26" ht="12.75" customHeight="1">
      <c r="A723" s="70"/>
      <c r="B723" s="70"/>
      <c r="C723" s="70"/>
      <c r="D723" s="70"/>
      <c r="E723" s="70"/>
      <c r="F723" s="70"/>
      <c r="G723" s="70"/>
      <c r="H723" s="70"/>
      <c r="I723" s="70"/>
      <c r="J723" s="70"/>
      <c r="K723" s="71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</row>
    <row r="724" spans="1:26" ht="12.75" customHeight="1">
      <c r="A724" s="70"/>
      <c r="B724" s="70"/>
      <c r="C724" s="70"/>
      <c r="D724" s="70"/>
      <c r="E724" s="70"/>
      <c r="F724" s="70"/>
      <c r="G724" s="70"/>
      <c r="H724" s="70"/>
      <c r="I724" s="70"/>
      <c r="J724" s="70"/>
      <c r="K724" s="71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</row>
    <row r="725" spans="1:26" ht="12.75" customHeight="1">
      <c r="A725" s="70"/>
      <c r="B725" s="70"/>
      <c r="C725" s="70"/>
      <c r="D725" s="70"/>
      <c r="E725" s="70"/>
      <c r="F725" s="70"/>
      <c r="G725" s="70"/>
      <c r="H725" s="70"/>
      <c r="I725" s="70"/>
      <c r="J725" s="70"/>
      <c r="K725" s="71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</row>
    <row r="726" spans="1:26" ht="12.75" customHeight="1">
      <c r="A726" s="70"/>
      <c r="B726" s="70"/>
      <c r="C726" s="70"/>
      <c r="D726" s="70"/>
      <c r="E726" s="70"/>
      <c r="F726" s="70"/>
      <c r="G726" s="70"/>
      <c r="H726" s="70"/>
      <c r="I726" s="70"/>
      <c r="J726" s="70"/>
      <c r="K726" s="71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</row>
    <row r="727" spans="1:26" ht="12.75" customHeight="1">
      <c r="A727" s="70"/>
      <c r="B727" s="70"/>
      <c r="C727" s="70"/>
      <c r="D727" s="70"/>
      <c r="E727" s="70"/>
      <c r="F727" s="70"/>
      <c r="G727" s="70"/>
      <c r="H727" s="70"/>
      <c r="I727" s="70"/>
      <c r="J727" s="70"/>
      <c r="K727" s="71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</row>
    <row r="728" spans="1:26" ht="12.75" customHeight="1">
      <c r="A728" s="70"/>
      <c r="B728" s="70"/>
      <c r="C728" s="70"/>
      <c r="D728" s="70"/>
      <c r="E728" s="70"/>
      <c r="F728" s="70"/>
      <c r="G728" s="70"/>
      <c r="H728" s="70"/>
      <c r="I728" s="70"/>
      <c r="J728" s="70"/>
      <c r="K728" s="71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</row>
    <row r="729" spans="1:26" ht="12.75" customHeight="1">
      <c r="A729" s="70"/>
      <c r="B729" s="70"/>
      <c r="C729" s="70"/>
      <c r="D729" s="70"/>
      <c r="E729" s="70"/>
      <c r="F729" s="70"/>
      <c r="G729" s="70"/>
      <c r="H729" s="70"/>
      <c r="I729" s="70"/>
      <c r="J729" s="70"/>
      <c r="K729" s="71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</row>
    <row r="730" spans="1:26" ht="12.75" customHeight="1">
      <c r="A730" s="70"/>
      <c r="B730" s="70"/>
      <c r="C730" s="70"/>
      <c r="D730" s="70"/>
      <c r="E730" s="70"/>
      <c r="F730" s="70"/>
      <c r="G730" s="70"/>
      <c r="H730" s="70"/>
      <c r="I730" s="70"/>
      <c r="J730" s="70"/>
      <c r="K730" s="71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</row>
    <row r="731" spans="1:26" ht="12.75" customHeight="1">
      <c r="A731" s="70"/>
      <c r="B731" s="70"/>
      <c r="C731" s="70"/>
      <c r="D731" s="70"/>
      <c r="E731" s="70"/>
      <c r="F731" s="70"/>
      <c r="G731" s="70"/>
      <c r="H731" s="70"/>
      <c r="I731" s="70"/>
      <c r="J731" s="70"/>
      <c r="K731" s="71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</row>
    <row r="732" spans="1:26" ht="12.75" customHeight="1">
      <c r="A732" s="70"/>
      <c r="B732" s="70"/>
      <c r="C732" s="70"/>
      <c r="D732" s="70"/>
      <c r="E732" s="70"/>
      <c r="F732" s="70"/>
      <c r="G732" s="70"/>
      <c r="H732" s="70"/>
      <c r="I732" s="70"/>
      <c r="J732" s="70"/>
      <c r="K732" s="71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</row>
    <row r="733" spans="1:26" ht="12.75" customHeight="1">
      <c r="A733" s="70"/>
      <c r="B733" s="70"/>
      <c r="C733" s="70"/>
      <c r="D733" s="70"/>
      <c r="E733" s="70"/>
      <c r="F733" s="70"/>
      <c r="G733" s="70"/>
      <c r="H733" s="70"/>
      <c r="I733" s="70"/>
      <c r="J733" s="70"/>
      <c r="K733" s="71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</row>
    <row r="734" spans="1:26" ht="12.75" customHeight="1">
      <c r="A734" s="70"/>
      <c r="B734" s="70"/>
      <c r="C734" s="70"/>
      <c r="D734" s="70"/>
      <c r="E734" s="70"/>
      <c r="F734" s="70"/>
      <c r="G734" s="70"/>
      <c r="H734" s="70"/>
      <c r="I734" s="70"/>
      <c r="J734" s="70"/>
      <c r="K734" s="71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</row>
    <row r="735" spans="1:26" ht="12.75" customHeight="1">
      <c r="A735" s="70"/>
      <c r="B735" s="70"/>
      <c r="C735" s="70"/>
      <c r="D735" s="70"/>
      <c r="E735" s="70"/>
      <c r="F735" s="70"/>
      <c r="G735" s="70"/>
      <c r="H735" s="70"/>
      <c r="I735" s="70"/>
      <c r="J735" s="70"/>
      <c r="K735" s="71"/>
      <c r="L735" s="70"/>
      <c r="M735" s="70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</row>
    <row r="736" spans="1:26" ht="12.75" customHeight="1">
      <c r="A736" s="70"/>
      <c r="B736" s="70"/>
      <c r="C736" s="70"/>
      <c r="D736" s="70"/>
      <c r="E736" s="70"/>
      <c r="F736" s="70"/>
      <c r="G736" s="70"/>
      <c r="H736" s="70"/>
      <c r="I736" s="70"/>
      <c r="J736" s="70"/>
      <c r="K736" s="71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</row>
    <row r="737" spans="1:26" ht="12.75" customHeight="1">
      <c r="A737" s="70"/>
      <c r="B737" s="70"/>
      <c r="C737" s="70"/>
      <c r="D737" s="70"/>
      <c r="E737" s="70"/>
      <c r="F737" s="70"/>
      <c r="G737" s="70"/>
      <c r="H737" s="70"/>
      <c r="I737" s="70"/>
      <c r="J737" s="70"/>
      <c r="K737" s="71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</row>
    <row r="738" spans="1:26" ht="12.75" customHeight="1">
      <c r="A738" s="70"/>
      <c r="B738" s="70"/>
      <c r="C738" s="70"/>
      <c r="D738" s="70"/>
      <c r="E738" s="70"/>
      <c r="F738" s="70"/>
      <c r="G738" s="70"/>
      <c r="H738" s="70"/>
      <c r="I738" s="70"/>
      <c r="J738" s="70"/>
      <c r="K738" s="71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</row>
    <row r="739" spans="1:26" ht="12.75" customHeight="1">
      <c r="A739" s="70"/>
      <c r="B739" s="70"/>
      <c r="C739" s="70"/>
      <c r="D739" s="70"/>
      <c r="E739" s="70"/>
      <c r="F739" s="70"/>
      <c r="G739" s="70"/>
      <c r="H739" s="70"/>
      <c r="I739" s="70"/>
      <c r="J739" s="70"/>
      <c r="K739" s="71"/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</row>
    <row r="740" spans="1:26" ht="12.75" customHeight="1">
      <c r="A740" s="70"/>
      <c r="B740" s="70"/>
      <c r="C740" s="70"/>
      <c r="D740" s="70"/>
      <c r="E740" s="70"/>
      <c r="F740" s="70"/>
      <c r="G740" s="70"/>
      <c r="H740" s="70"/>
      <c r="I740" s="70"/>
      <c r="J740" s="70"/>
      <c r="K740" s="71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</row>
    <row r="741" spans="1:26" ht="12.75" customHeight="1">
      <c r="A741" s="70"/>
      <c r="B741" s="70"/>
      <c r="C741" s="70"/>
      <c r="D741" s="70"/>
      <c r="E741" s="70"/>
      <c r="F741" s="70"/>
      <c r="G741" s="70"/>
      <c r="H741" s="70"/>
      <c r="I741" s="70"/>
      <c r="J741" s="70"/>
      <c r="K741" s="71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</row>
    <row r="742" spans="1:26" ht="12.75" customHeight="1">
      <c r="A742" s="70"/>
      <c r="B742" s="70"/>
      <c r="C742" s="70"/>
      <c r="D742" s="70"/>
      <c r="E742" s="70"/>
      <c r="F742" s="70"/>
      <c r="G742" s="70"/>
      <c r="H742" s="70"/>
      <c r="I742" s="70"/>
      <c r="J742" s="70"/>
      <c r="K742" s="71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</row>
    <row r="743" spans="1:26" ht="12.75" customHeight="1">
      <c r="A743" s="70"/>
      <c r="B743" s="70"/>
      <c r="C743" s="70"/>
      <c r="D743" s="70"/>
      <c r="E743" s="70"/>
      <c r="F743" s="70"/>
      <c r="G743" s="70"/>
      <c r="H743" s="70"/>
      <c r="I743" s="70"/>
      <c r="J743" s="70"/>
      <c r="K743" s="71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</row>
    <row r="744" spans="1:26" ht="12.75" customHeight="1">
      <c r="A744" s="70"/>
      <c r="B744" s="70"/>
      <c r="C744" s="70"/>
      <c r="D744" s="70"/>
      <c r="E744" s="70"/>
      <c r="F744" s="70"/>
      <c r="G744" s="70"/>
      <c r="H744" s="70"/>
      <c r="I744" s="70"/>
      <c r="J744" s="70"/>
      <c r="K744" s="71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</row>
    <row r="745" spans="1:26" ht="12.75" customHeight="1">
      <c r="A745" s="70"/>
      <c r="B745" s="70"/>
      <c r="C745" s="70"/>
      <c r="D745" s="70"/>
      <c r="E745" s="70"/>
      <c r="F745" s="70"/>
      <c r="G745" s="70"/>
      <c r="H745" s="70"/>
      <c r="I745" s="70"/>
      <c r="J745" s="70"/>
      <c r="K745" s="71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</row>
    <row r="746" spans="1:26" ht="12.75" customHeight="1">
      <c r="A746" s="70"/>
      <c r="B746" s="70"/>
      <c r="C746" s="70"/>
      <c r="D746" s="70"/>
      <c r="E746" s="70"/>
      <c r="F746" s="70"/>
      <c r="G746" s="70"/>
      <c r="H746" s="70"/>
      <c r="I746" s="70"/>
      <c r="J746" s="70"/>
      <c r="K746" s="71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</row>
    <row r="747" spans="1:26" ht="12.75" customHeight="1">
      <c r="A747" s="70"/>
      <c r="B747" s="70"/>
      <c r="C747" s="70"/>
      <c r="D747" s="70"/>
      <c r="E747" s="70"/>
      <c r="F747" s="70"/>
      <c r="G747" s="70"/>
      <c r="H747" s="70"/>
      <c r="I747" s="70"/>
      <c r="J747" s="70"/>
      <c r="K747" s="71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</row>
    <row r="748" spans="1:26" ht="12.75" customHeight="1">
      <c r="A748" s="70"/>
      <c r="B748" s="70"/>
      <c r="C748" s="70"/>
      <c r="D748" s="70"/>
      <c r="E748" s="70"/>
      <c r="F748" s="70"/>
      <c r="G748" s="70"/>
      <c r="H748" s="70"/>
      <c r="I748" s="70"/>
      <c r="J748" s="70"/>
      <c r="K748" s="71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</row>
    <row r="749" spans="1:26" ht="12.75" customHeight="1">
      <c r="A749" s="70"/>
      <c r="B749" s="70"/>
      <c r="C749" s="70"/>
      <c r="D749" s="70"/>
      <c r="E749" s="70"/>
      <c r="F749" s="70"/>
      <c r="G749" s="70"/>
      <c r="H749" s="70"/>
      <c r="I749" s="70"/>
      <c r="J749" s="70"/>
      <c r="K749" s="71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</row>
    <row r="750" spans="1:26" ht="12.75" customHeight="1">
      <c r="A750" s="70"/>
      <c r="B750" s="70"/>
      <c r="C750" s="70"/>
      <c r="D750" s="70"/>
      <c r="E750" s="70"/>
      <c r="F750" s="70"/>
      <c r="G750" s="70"/>
      <c r="H750" s="70"/>
      <c r="I750" s="70"/>
      <c r="J750" s="70"/>
      <c r="K750" s="71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</row>
    <row r="751" spans="1:26" ht="12.75" customHeight="1">
      <c r="A751" s="70"/>
      <c r="B751" s="70"/>
      <c r="C751" s="70"/>
      <c r="D751" s="70"/>
      <c r="E751" s="70"/>
      <c r="F751" s="70"/>
      <c r="G751" s="70"/>
      <c r="H751" s="70"/>
      <c r="I751" s="70"/>
      <c r="J751" s="70"/>
      <c r="K751" s="71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</row>
    <row r="752" spans="1:26" ht="12.75" customHeight="1">
      <c r="A752" s="70"/>
      <c r="B752" s="70"/>
      <c r="C752" s="70"/>
      <c r="D752" s="70"/>
      <c r="E752" s="70"/>
      <c r="F752" s="70"/>
      <c r="G752" s="70"/>
      <c r="H752" s="70"/>
      <c r="I752" s="70"/>
      <c r="J752" s="70"/>
      <c r="K752" s="71"/>
      <c r="L752" s="70"/>
      <c r="M752" s="70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</row>
    <row r="753" spans="1:26" ht="12.75" customHeight="1">
      <c r="A753" s="70"/>
      <c r="B753" s="70"/>
      <c r="C753" s="70"/>
      <c r="D753" s="70"/>
      <c r="E753" s="70"/>
      <c r="F753" s="70"/>
      <c r="G753" s="70"/>
      <c r="H753" s="70"/>
      <c r="I753" s="70"/>
      <c r="J753" s="70"/>
      <c r="K753" s="71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</row>
    <row r="754" spans="1:26" ht="12.75" customHeight="1">
      <c r="A754" s="70"/>
      <c r="B754" s="70"/>
      <c r="C754" s="70"/>
      <c r="D754" s="70"/>
      <c r="E754" s="70"/>
      <c r="F754" s="70"/>
      <c r="G754" s="70"/>
      <c r="H754" s="70"/>
      <c r="I754" s="70"/>
      <c r="J754" s="70"/>
      <c r="K754" s="71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</row>
    <row r="755" spans="1:26" ht="12.75" customHeight="1">
      <c r="A755" s="70"/>
      <c r="B755" s="70"/>
      <c r="C755" s="70"/>
      <c r="D755" s="70"/>
      <c r="E755" s="70"/>
      <c r="F755" s="70"/>
      <c r="G755" s="70"/>
      <c r="H755" s="70"/>
      <c r="I755" s="70"/>
      <c r="J755" s="70"/>
      <c r="K755" s="71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</row>
    <row r="756" spans="1:26" ht="12.75" customHeight="1">
      <c r="A756" s="70"/>
      <c r="B756" s="70"/>
      <c r="C756" s="70"/>
      <c r="D756" s="70"/>
      <c r="E756" s="70"/>
      <c r="F756" s="70"/>
      <c r="G756" s="70"/>
      <c r="H756" s="70"/>
      <c r="I756" s="70"/>
      <c r="J756" s="70"/>
      <c r="K756" s="71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</row>
    <row r="757" spans="1:26" ht="12.75" customHeight="1">
      <c r="A757" s="70"/>
      <c r="B757" s="70"/>
      <c r="C757" s="70"/>
      <c r="D757" s="70"/>
      <c r="E757" s="70"/>
      <c r="F757" s="70"/>
      <c r="G757" s="70"/>
      <c r="H757" s="70"/>
      <c r="I757" s="70"/>
      <c r="J757" s="70"/>
      <c r="K757" s="71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</row>
    <row r="758" spans="1:26" ht="12.75" customHeight="1">
      <c r="A758" s="70"/>
      <c r="B758" s="70"/>
      <c r="C758" s="70"/>
      <c r="D758" s="70"/>
      <c r="E758" s="70"/>
      <c r="F758" s="70"/>
      <c r="G758" s="70"/>
      <c r="H758" s="70"/>
      <c r="I758" s="70"/>
      <c r="J758" s="70"/>
      <c r="K758" s="71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</row>
    <row r="759" spans="1:26" ht="12.75" customHeight="1">
      <c r="A759" s="70"/>
      <c r="B759" s="70"/>
      <c r="C759" s="70"/>
      <c r="D759" s="70"/>
      <c r="E759" s="70"/>
      <c r="F759" s="70"/>
      <c r="G759" s="70"/>
      <c r="H759" s="70"/>
      <c r="I759" s="70"/>
      <c r="J759" s="70"/>
      <c r="K759" s="71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</row>
    <row r="760" spans="1:26" ht="12.75" customHeight="1">
      <c r="A760" s="70"/>
      <c r="B760" s="70"/>
      <c r="C760" s="70"/>
      <c r="D760" s="70"/>
      <c r="E760" s="70"/>
      <c r="F760" s="70"/>
      <c r="G760" s="70"/>
      <c r="H760" s="70"/>
      <c r="I760" s="70"/>
      <c r="J760" s="70"/>
      <c r="K760" s="71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</row>
    <row r="761" spans="1:26" ht="12.75" customHeight="1">
      <c r="A761" s="70"/>
      <c r="B761" s="70"/>
      <c r="C761" s="70"/>
      <c r="D761" s="70"/>
      <c r="E761" s="70"/>
      <c r="F761" s="70"/>
      <c r="G761" s="70"/>
      <c r="H761" s="70"/>
      <c r="I761" s="70"/>
      <c r="J761" s="70"/>
      <c r="K761" s="71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</row>
    <row r="762" spans="1:26" ht="12.75" customHeight="1">
      <c r="A762" s="70"/>
      <c r="B762" s="70"/>
      <c r="C762" s="70"/>
      <c r="D762" s="70"/>
      <c r="E762" s="70"/>
      <c r="F762" s="70"/>
      <c r="G762" s="70"/>
      <c r="H762" s="70"/>
      <c r="I762" s="70"/>
      <c r="J762" s="70"/>
      <c r="K762" s="71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</row>
    <row r="763" spans="1:26" ht="12.75" customHeight="1">
      <c r="A763" s="70"/>
      <c r="B763" s="70"/>
      <c r="C763" s="70"/>
      <c r="D763" s="70"/>
      <c r="E763" s="70"/>
      <c r="F763" s="70"/>
      <c r="G763" s="70"/>
      <c r="H763" s="70"/>
      <c r="I763" s="70"/>
      <c r="J763" s="70"/>
      <c r="K763" s="71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</row>
    <row r="764" spans="1:26" ht="12.75" customHeight="1">
      <c r="A764" s="70"/>
      <c r="B764" s="70"/>
      <c r="C764" s="70"/>
      <c r="D764" s="70"/>
      <c r="E764" s="70"/>
      <c r="F764" s="70"/>
      <c r="G764" s="70"/>
      <c r="H764" s="70"/>
      <c r="I764" s="70"/>
      <c r="J764" s="70"/>
      <c r="K764" s="71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</row>
    <row r="765" spans="1:26" ht="12.75" customHeight="1">
      <c r="A765" s="70"/>
      <c r="B765" s="70"/>
      <c r="C765" s="70"/>
      <c r="D765" s="70"/>
      <c r="E765" s="70"/>
      <c r="F765" s="70"/>
      <c r="G765" s="70"/>
      <c r="H765" s="70"/>
      <c r="I765" s="70"/>
      <c r="J765" s="70"/>
      <c r="K765" s="71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</row>
    <row r="766" spans="1:26" ht="12.75" customHeight="1">
      <c r="A766" s="70"/>
      <c r="B766" s="70"/>
      <c r="C766" s="70"/>
      <c r="D766" s="70"/>
      <c r="E766" s="70"/>
      <c r="F766" s="70"/>
      <c r="G766" s="70"/>
      <c r="H766" s="70"/>
      <c r="I766" s="70"/>
      <c r="J766" s="70"/>
      <c r="K766" s="71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</row>
    <row r="767" spans="1:26" ht="12.75" customHeight="1">
      <c r="A767" s="70"/>
      <c r="B767" s="70"/>
      <c r="C767" s="70"/>
      <c r="D767" s="70"/>
      <c r="E767" s="70"/>
      <c r="F767" s="70"/>
      <c r="G767" s="70"/>
      <c r="H767" s="70"/>
      <c r="I767" s="70"/>
      <c r="J767" s="70"/>
      <c r="K767" s="71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</row>
    <row r="768" spans="1:26" ht="12.75" customHeight="1">
      <c r="A768" s="70"/>
      <c r="B768" s="70"/>
      <c r="C768" s="70"/>
      <c r="D768" s="70"/>
      <c r="E768" s="70"/>
      <c r="F768" s="70"/>
      <c r="G768" s="70"/>
      <c r="H768" s="70"/>
      <c r="I768" s="70"/>
      <c r="J768" s="70"/>
      <c r="K768" s="71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</row>
    <row r="769" spans="1:26" ht="12.75" customHeight="1">
      <c r="A769" s="70"/>
      <c r="B769" s="70"/>
      <c r="C769" s="70"/>
      <c r="D769" s="70"/>
      <c r="E769" s="70"/>
      <c r="F769" s="70"/>
      <c r="G769" s="70"/>
      <c r="H769" s="70"/>
      <c r="I769" s="70"/>
      <c r="J769" s="70"/>
      <c r="K769" s="71"/>
      <c r="L769" s="70"/>
      <c r="M769" s="70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</row>
    <row r="770" spans="1:26" ht="12.75" customHeight="1">
      <c r="A770" s="70"/>
      <c r="B770" s="70"/>
      <c r="C770" s="70"/>
      <c r="D770" s="70"/>
      <c r="E770" s="70"/>
      <c r="F770" s="70"/>
      <c r="G770" s="70"/>
      <c r="H770" s="70"/>
      <c r="I770" s="70"/>
      <c r="J770" s="70"/>
      <c r="K770" s="71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</row>
    <row r="771" spans="1:26" ht="12.75" customHeight="1">
      <c r="A771" s="70"/>
      <c r="B771" s="70"/>
      <c r="C771" s="70"/>
      <c r="D771" s="70"/>
      <c r="E771" s="70"/>
      <c r="F771" s="70"/>
      <c r="G771" s="70"/>
      <c r="H771" s="70"/>
      <c r="I771" s="70"/>
      <c r="J771" s="70"/>
      <c r="K771" s="71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</row>
    <row r="772" spans="1:26" ht="12.75" customHeight="1">
      <c r="A772" s="70"/>
      <c r="B772" s="70"/>
      <c r="C772" s="70"/>
      <c r="D772" s="70"/>
      <c r="E772" s="70"/>
      <c r="F772" s="70"/>
      <c r="G772" s="70"/>
      <c r="H772" s="70"/>
      <c r="I772" s="70"/>
      <c r="J772" s="70"/>
      <c r="K772" s="71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</row>
    <row r="773" spans="1:26" ht="12.75" customHeight="1">
      <c r="A773" s="70"/>
      <c r="B773" s="70"/>
      <c r="C773" s="70"/>
      <c r="D773" s="70"/>
      <c r="E773" s="70"/>
      <c r="F773" s="70"/>
      <c r="G773" s="70"/>
      <c r="H773" s="70"/>
      <c r="I773" s="70"/>
      <c r="J773" s="70"/>
      <c r="K773" s="71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</row>
    <row r="774" spans="1:26" ht="12.75" customHeight="1">
      <c r="A774" s="70"/>
      <c r="B774" s="70"/>
      <c r="C774" s="70"/>
      <c r="D774" s="70"/>
      <c r="E774" s="70"/>
      <c r="F774" s="70"/>
      <c r="G774" s="70"/>
      <c r="H774" s="70"/>
      <c r="I774" s="70"/>
      <c r="J774" s="70"/>
      <c r="K774" s="71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</row>
    <row r="775" spans="1:26" ht="12.75" customHeight="1">
      <c r="A775" s="70"/>
      <c r="B775" s="70"/>
      <c r="C775" s="70"/>
      <c r="D775" s="70"/>
      <c r="E775" s="70"/>
      <c r="F775" s="70"/>
      <c r="G775" s="70"/>
      <c r="H775" s="70"/>
      <c r="I775" s="70"/>
      <c r="J775" s="70"/>
      <c r="K775" s="71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</row>
    <row r="776" spans="1:26" ht="12.75" customHeight="1">
      <c r="A776" s="70"/>
      <c r="B776" s="70"/>
      <c r="C776" s="70"/>
      <c r="D776" s="70"/>
      <c r="E776" s="70"/>
      <c r="F776" s="70"/>
      <c r="G776" s="70"/>
      <c r="H776" s="70"/>
      <c r="I776" s="70"/>
      <c r="J776" s="70"/>
      <c r="K776" s="71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</row>
    <row r="777" spans="1:26" ht="12.75" customHeight="1">
      <c r="A777" s="70"/>
      <c r="B777" s="70"/>
      <c r="C777" s="70"/>
      <c r="D777" s="70"/>
      <c r="E777" s="70"/>
      <c r="F777" s="70"/>
      <c r="G777" s="70"/>
      <c r="H777" s="70"/>
      <c r="I777" s="70"/>
      <c r="J777" s="70"/>
      <c r="K777" s="71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</row>
    <row r="778" spans="1:26" ht="12.75" customHeight="1">
      <c r="A778" s="70"/>
      <c r="B778" s="70"/>
      <c r="C778" s="70"/>
      <c r="D778" s="70"/>
      <c r="E778" s="70"/>
      <c r="F778" s="70"/>
      <c r="G778" s="70"/>
      <c r="H778" s="70"/>
      <c r="I778" s="70"/>
      <c r="J778" s="70"/>
      <c r="K778" s="71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</row>
    <row r="779" spans="1:26" ht="12.75" customHeight="1">
      <c r="A779" s="70"/>
      <c r="B779" s="70"/>
      <c r="C779" s="70"/>
      <c r="D779" s="70"/>
      <c r="E779" s="70"/>
      <c r="F779" s="70"/>
      <c r="G779" s="70"/>
      <c r="H779" s="70"/>
      <c r="I779" s="70"/>
      <c r="J779" s="70"/>
      <c r="K779" s="71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</row>
    <row r="780" spans="1:26" ht="12.75" customHeight="1">
      <c r="A780" s="70"/>
      <c r="B780" s="70"/>
      <c r="C780" s="70"/>
      <c r="D780" s="70"/>
      <c r="E780" s="70"/>
      <c r="F780" s="70"/>
      <c r="G780" s="70"/>
      <c r="H780" s="70"/>
      <c r="I780" s="70"/>
      <c r="J780" s="70"/>
      <c r="K780" s="71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</row>
    <row r="781" spans="1:26" ht="12.75" customHeight="1">
      <c r="A781" s="70"/>
      <c r="B781" s="70"/>
      <c r="C781" s="70"/>
      <c r="D781" s="70"/>
      <c r="E781" s="70"/>
      <c r="F781" s="70"/>
      <c r="G781" s="70"/>
      <c r="H781" s="70"/>
      <c r="I781" s="70"/>
      <c r="J781" s="70"/>
      <c r="K781" s="71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</row>
    <row r="782" spans="1:26" ht="12.75" customHeight="1">
      <c r="A782" s="70"/>
      <c r="B782" s="70"/>
      <c r="C782" s="70"/>
      <c r="D782" s="70"/>
      <c r="E782" s="70"/>
      <c r="F782" s="70"/>
      <c r="G782" s="70"/>
      <c r="H782" s="70"/>
      <c r="I782" s="70"/>
      <c r="J782" s="70"/>
      <c r="K782" s="71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</row>
    <row r="783" spans="1:26" ht="12.75" customHeight="1">
      <c r="A783" s="70"/>
      <c r="B783" s="70"/>
      <c r="C783" s="70"/>
      <c r="D783" s="70"/>
      <c r="E783" s="70"/>
      <c r="F783" s="70"/>
      <c r="G783" s="70"/>
      <c r="H783" s="70"/>
      <c r="I783" s="70"/>
      <c r="J783" s="70"/>
      <c r="K783" s="71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</row>
    <row r="784" spans="1:26" ht="12.75" customHeight="1">
      <c r="A784" s="70"/>
      <c r="B784" s="70"/>
      <c r="C784" s="70"/>
      <c r="D784" s="70"/>
      <c r="E784" s="70"/>
      <c r="F784" s="70"/>
      <c r="G784" s="70"/>
      <c r="H784" s="70"/>
      <c r="I784" s="70"/>
      <c r="J784" s="70"/>
      <c r="K784" s="71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</row>
    <row r="785" spans="1:26" ht="12.75" customHeight="1">
      <c r="A785" s="70"/>
      <c r="B785" s="70"/>
      <c r="C785" s="70"/>
      <c r="D785" s="70"/>
      <c r="E785" s="70"/>
      <c r="F785" s="70"/>
      <c r="G785" s="70"/>
      <c r="H785" s="70"/>
      <c r="I785" s="70"/>
      <c r="J785" s="70"/>
      <c r="K785" s="71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</row>
    <row r="786" spans="1:26" ht="12.75" customHeight="1">
      <c r="A786" s="70"/>
      <c r="B786" s="70"/>
      <c r="C786" s="70"/>
      <c r="D786" s="70"/>
      <c r="E786" s="70"/>
      <c r="F786" s="70"/>
      <c r="G786" s="70"/>
      <c r="H786" s="70"/>
      <c r="I786" s="70"/>
      <c r="J786" s="70"/>
      <c r="K786" s="71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</row>
    <row r="787" spans="1:26" ht="12.75" customHeight="1">
      <c r="A787" s="70"/>
      <c r="B787" s="70"/>
      <c r="C787" s="70"/>
      <c r="D787" s="70"/>
      <c r="E787" s="70"/>
      <c r="F787" s="70"/>
      <c r="G787" s="70"/>
      <c r="H787" s="70"/>
      <c r="I787" s="70"/>
      <c r="J787" s="70"/>
      <c r="K787" s="71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</row>
    <row r="788" spans="1:26" ht="12.75" customHeight="1">
      <c r="A788" s="70"/>
      <c r="B788" s="70"/>
      <c r="C788" s="70"/>
      <c r="D788" s="70"/>
      <c r="E788" s="70"/>
      <c r="F788" s="70"/>
      <c r="G788" s="70"/>
      <c r="H788" s="70"/>
      <c r="I788" s="70"/>
      <c r="J788" s="70"/>
      <c r="K788" s="71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</row>
    <row r="789" spans="1:26" ht="12.75" customHeight="1">
      <c r="A789" s="70"/>
      <c r="B789" s="70"/>
      <c r="C789" s="70"/>
      <c r="D789" s="70"/>
      <c r="E789" s="70"/>
      <c r="F789" s="70"/>
      <c r="G789" s="70"/>
      <c r="H789" s="70"/>
      <c r="I789" s="70"/>
      <c r="J789" s="70"/>
      <c r="K789" s="71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</row>
    <row r="790" spans="1:26" ht="12.75" customHeight="1">
      <c r="A790" s="70"/>
      <c r="B790" s="70"/>
      <c r="C790" s="70"/>
      <c r="D790" s="70"/>
      <c r="E790" s="70"/>
      <c r="F790" s="70"/>
      <c r="G790" s="70"/>
      <c r="H790" s="70"/>
      <c r="I790" s="70"/>
      <c r="J790" s="70"/>
      <c r="K790" s="71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</row>
    <row r="791" spans="1:26" ht="12.75" customHeight="1">
      <c r="A791" s="70"/>
      <c r="B791" s="70"/>
      <c r="C791" s="70"/>
      <c r="D791" s="70"/>
      <c r="E791" s="70"/>
      <c r="F791" s="70"/>
      <c r="G791" s="70"/>
      <c r="H791" s="70"/>
      <c r="I791" s="70"/>
      <c r="J791" s="70"/>
      <c r="K791" s="71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</row>
    <row r="792" spans="1:26" ht="12.75" customHeight="1">
      <c r="A792" s="70"/>
      <c r="B792" s="70"/>
      <c r="C792" s="70"/>
      <c r="D792" s="70"/>
      <c r="E792" s="70"/>
      <c r="F792" s="70"/>
      <c r="G792" s="70"/>
      <c r="H792" s="70"/>
      <c r="I792" s="70"/>
      <c r="J792" s="70"/>
      <c r="K792" s="71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</row>
    <row r="793" spans="1:26" ht="12.75" customHeight="1">
      <c r="A793" s="70"/>
      <c r="B793" s="70"/>
      <c r="C793" s="70"/>
      <c r="D793" s="70"/>
      <c r="E793" s="70"/>
      <c r="F793" s="70"/>
      <c r="G793" s="70"/>
      <c r="H793" s="70"/>
      <c r="I793" s="70"/>
      <c r="J793" s="70"/>
      <c r="K793" s="71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</row>
    <row r="794" spans="1:26" ht="12.75" customHeight="1">
      <c r="A794" s="70"/>
      <c r="B794" s="70"/>
      <c r="C794" s="70"/>
      <c r="D794" s="70"/>
      <c r="E794" s="70"/>
      <c r="F794" s="70"/>
      <c r="G794" s="70"/>
      <c r="H794" s="70"/>
      <c r="I794" s="70"/>
      <c r="J794" s="70"/>
      <c r="K794" s="71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</row>
    <row r="795" spans="1:26" ht="12.75" customHeight="1">
      <c r="A795" s="70"/>
      <c r="B795" s="70"/>
      <c r="C795" s="70"/>
      <c r="D795" s="70"/>
      <c r="E795" s="70"/>
      <c r="F795" s="70"/>
      <c r="G795" s="70"/>
      <c r="H795" s="70"/>
      <c r="I795" s="70"/>
      <c r="J795" s="70"/>
      <c r="K795" s="71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</row>
    <row r="796" spans="1:26" ht="12.75" customHeight="1">
      <c r="A796" s="70"/>
      <c r="B796" s="70"/>
      <c r="C796" s="70"/>
      <c r="D796" s="70"/>
      <c r="E796" s="70"/>
      <c r="F796" s="70"/>
      <c r="G796" s="70"/>
      <c r="H796" s="70"/>
      <c r="I796" s="70"/>
      <c r="J796" s="70"/>
      <c r="K796" s="71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</row>
    <row r="797" spans="1:26" ht="12.75" customHeight="1">
      <c r="A797" s="70"/>
      <c r="B797" s="70"/>
      <c r="C797" s="70"/>
      <c r="D797" s="70"/>
      <c r="E797" s="70"/>
      <c r="F797" s="70"/>
      <c r="G797" s="70"/>
      <c r="H797" s="70"/>
      <c r="I797" s="70"/>
      <c r="J797" s="70"/>
      <c r="K797" s="71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</row>
    <row r="798" spans="1:26" ht="12.75" customHeight="1">
      <c r="A798" s="70"/>
      <c r="B798" s="70"/>
      <c r="C798" s="70"/>
      <c r="D798" s="70"/>
      <c r="E798" s="70"/>
      <c r="F798" s="70"/>
      <c r="G798" s="70"/>
      <c r="H798" s="70"/>
      <c r="I798" s="70"/>
      <c r="J798" s="70"/>
      <c r="K798" s="71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</row>
    <row r="799" spans="1:26" ht="12.75" customHeight="1">
      <c r="A799" s="70"/>
      <c r="B799" s="70"/>
      <c r="C799" s="70"/>
      <c r="D799" s="70"/>
      <c r="E799" s="70"/>
      <c r="F799" s="70"/>
      <c r="G799" s="70"/>
      <c r="H799" s="70"/>
      <c r="I799" s="70"/>
      <c r="J799" s="70"/>
      <c r="K799" s="71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</row>
    <row r="800" spans="1:26" ht="12.75" customHeight="1">
      <c r="A800" s="70"/>
      <c r="B800" s="70"/>
      <c r="C800" s="70"/>
      <c r="D800" s="70"/>
      <c r="E800" s="70"/>
      <c r="F800" s="70"/>
      <c r="G800" s="70"/>
      <c r="H800" s="70"/>
      <c r="I800" s="70"/>
      <c r="J800" s="70"/>
      <c r="K800" s="71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</row>
    <row r="801" spans="1:26" ht="12.75" customHeight="1">
      <c r="A801" s="70"/>
      <c r="B801" s="70"/>
      <c r="C801" s="70"/>
      <c r="D801" s="70"/>
      <c r="E801" s="70"/>
      <c r="F801" s="70"/>
      <c r="G801" s="70"/>
      <c r="H801" s="70"/>
      <c r="I801" s="70"/>
      <c r="J801" s="70"/>
      <c r="K801" s="71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</row>
    <row r="802" spans="1:26" ht="12.75" customHeight="1">
      <c r="A802" s="70"/>
      <c r="B802" s="70"/>
      <c r="C802" s="70"/>
      <c r="D802" s="70"/>
      <c r="E802" s="70"/>
      <c r="F802" s="70"/>
      <c r="G802" s="70"/>
      <c r="H802" s="70"/>
      <c r="I802" s="70"/>
      <c r="J802" s="70"/>
      <c r="K802" s="71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</row>
    <row r="803" spans="1:26" ht="12.75" customHeight="1">
      <c r="A803" s="70"/>
      <c r="B803" s="70"/>
      <c r="C803" s="70"/>
      <c r="D803" s="70"/>
      <c r="E803" s="70"/>
      <c r="F803" s="70"/>
      <c r="G803" s="70"/>
      <c r="H803" s="70"/>
      <c r="I803" s="70"/>
      <c r="J803" s="70"/>
      <c r="K803" s="71"/>
      <c r="L803" s="70"/>
      <c r="M803" s="70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</row>
    <row r="804" spans="1:26" ht="12.75" customHeight="1">
      <c r="A804" s="70"/>
      <c r="B804" s="70"/>
      <c r="C804" s="70"/>
      <c r="D804" s="70"/>
      <c r="E804" s="70"/>
      <c r="F804" s="70"/>
      <c r="G804" s="70"/>
      <c r="H804" s="70"/>
      <c r="I804" s="70"/>
      <c r="J804" s="70"/>
      <c r="K804" s="71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</row>
    <row r="805" spans="1:26" ht="12.75" customHeight="1">
      <c r="A805" s="70"/>
      <c r="B805" s="70"/>
      <c r="C805" s="70"/>
      <c r="D805" s="70"/>
      <c r="E805" s="70"/>
      <c r="F805" s="70"/>
      <c r="G805" s="70"/>
      <c r="H805" s="70"/>
      <c r="I805" s="70"/>
      <c r="J805" s="70"/>
      <c r="K805" s="71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</row>
    <row r="806" spans="1:26" ht="12.75" customHeight="1">
      <c r="A806" s="70"/>
      <c r="B806" s="70"/>
      <c r="C806" s="70"/>
      <c r="D806" s="70"/>
      <c r="E806" s="70"/>
      <c r="F806" s="70"/>
      <c r="G806" s="70"/>
      <c r="H806" s="70"/>
      <c r="I806" s="70"/>
      <c r="J806" s="70"/>
      <c r="K806" s="71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</row>
    <row r="807" spans="1:26" ht="12.75" customHeight="1">
      <c r="A807" s="70"/>
      <c r="B807" s="70"/>
      <c r="C807" s="70"/>
      <c r="D807" s="70"/>
      <c r="E807" s="70"/>
      <c r="F807" s="70"/>
      <c r="G807" s="70"/>
      <c r="H807" s="70"/>
      <c r="I807" s="70"/>
      <c r="J807" s="70"/>
      <c r="K807" s="71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</row>
    <row r="808" spans="1:26" ht="12.75" customHeight="1">
      <c r="A808" s="70"/>
      <c r="B808" s="70"/>
      <c r="C808" s="70"/>
      <c r="D808" s="70"/>
      <c r="E808" s="70"/>
      <c r="F808" s="70"/>
      <c r="G808" s="70"/>
      <c r="H808" s="70"/>
      <c r="I808" s="70"/>
      <c r="J808" s="70"/>
      <c r="K808" s="71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</row>
    <row r="809" spans="1:26" ht="12.75" customHeight="1">
      <c r="A809" s="70"/>
      <c r="B809" s="70"/>
      <c r="C809" s="70"/>
      <c r="D809" s="70"/>
      <c r="E809" s="70"/>
      <c r="F809" s="70"/>
      <c r="G809" s="70"/>
      <c r="H809" s="70"/>
      <c r="I809" s="70"/>
      <c r="J809" s="70"/>
      <c r="K809" s="71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</row>
    <row r="810" spans="1:26" ht="12.75" customHeight="1">
      <c r="A810" s="70"/>
      <c r="B810" s="70"/>
      <c r="C810" s="70"/>
      <c r="D810" s="70"/>
      <c r="E810" s="70"/>
      <c r="F810" s="70"/>
      <c r="G810" s="70"/>
      <c r="H810" s="70"/>
      <c r="I810" s="70"/>
      <c r="J810" s="70"/>
      <c r="K810" s="71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</row>
    <row r="811" spans="1:26" ht="12.75" customHeight="1">
      <c r="A811" s="70"/>
      <c r="B811" s="70"/>
      <c r="C811" s="70"/>
      <c r="D811" s="70"/>
      <c r="E811" s="70"/>
      <c r="F811" s="70"/>
      <c r="G811" s="70"/>
      <c r="H811" s="70"/>
      <c r="I811" s="70"/>
      <c r="J811" s="70"/>
      <c r="K811" s="71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</row>
    <row r="812" spans="1:26" ht="12.75" customHeight="1">
      <c r="A812" s="70"/>
      <c r="B812" s="70"/>
      <c r="C812" s="70"/>
      <c r="D812" s="70"/>
      <c r="E812" s="70"/>
      <c r="F812" s="70"/>
      <c r="G812" s="70"/>
      <c r="H812" s="70"/>
      <c r="I812" s="70"/>
      <c r="J812" s="70"/>
      <c r="K812" s="71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</row>
    <row r="813" spans="1:26" ht="12.75" customHeight="1">
      <c r="A813" s="70"/>
      <c r="B813" s="70"/>
      <c r="C813" s="70"/>
      <c r="D813" s="70"/>
      <c r="E813" s="70"/>
      <c r="F813" s="70"/>
      <c r="G813" s="70"/>
      <c r="H813" s="70"/>
      <c r="I813" s="70"/>
      <c r="J813" s="70"/>
      <c r="K813" s="71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</row>
    <row r="814" spans="1:26" ht="12.75" customHeight="1">
      <c r="A814" s="70"/>
      <c r="B814" s="70"/>
      <c r="C814" s="70"/>
      <c r="D814" s="70"/>
      <c r="E814" s="70"/>
      <c r="F814" s="70"/>
      <c r="G814" s="70"/>
      <c r="H814" s="70"/>
      <c r="I814" s="70"/>
      <c r="J814" s="70"/>
      <c r="K814" s="71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</row>
    <row r="815" spans="1:26" ht="12.75" customHeight="1">
      <c r="A815" s="70"/>
      <c r="B815" s="70"/>
      <c r="C815" s="70"/>
      <c r="D815" s="70"/>
      <c r="E815" s="70"/>
      <c r="F815" s="70"/>
      <c r="G815" s="70"/>
      <c r="H815" s="70"/>
      <c r="I815" s="70"/>
      <c r="J815" s="70"/>
      <c r="K815" s="71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</row>
    <row r="816" spans="1:26" ht="12.75" customHeight="1">
      <c r="A816" s="70"/>
      <c r="B816" s="70"/>
      <c r="C816" s="70"/>
      <c r="D816" s="70"/>
      <c r="E816" s="70"/>
      <c r="F816" s="70"/>
      <c r="G816" s="70"/>
      <c r="H816" s="70"/>
      <c r="I816" s="70"/>
      <c r="J816" s="70"/>
      <c r="K816" s="71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</row>
    <row r="817" spans="1:26" ht="12.75" customHeight="1">
      <c r="A817" s="70"/>
      <c r="B817" s="70"/>
      <c r="C817" s="70"/>
      <c r="D817" s="70"/>
      <c r="E817" s="70"/>
      <c r="F817" s="70"/>
      <c r="G817" s="70"/>
      <c r="H817" s="70"/>
      <c r="I817" s="70"/>
      <c r="J817" s="70"/>
      <c r="K817" s="71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</row>
    <row r="818" spans="1:26" ht="12.75" customHeight="1">
      <c r="A818" s="70"/>
      <c r="B818" s="70"/>
      <c r="C818" s="70"/>
      <c r="D818" s="70"/>
      <c r="E818" s="70"/>
      <c r="F818" s="70"/>
      <c r="G818" s="70"/>
      <c r="H818" s="70"/>
      <c r="I818" s="70"/>
      <c r="J818" s="70"/>
      <c r="K818" s="71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</row>
    <row r="819" spans="1:26" ht="12.75" customHeight="1">
      <c r="A819" s="70"/>
      <c r="B819" s="70"/>
      <c r="C819" s="70"/>
      <c r="D819" s="70"/>
      <c r="E819" s="70"/>
      <c r="F819" s="70"/>
      <c r="G819" s="70"/>
      <c r="H819" s="70"/>
      <c r="I819" s="70"/>
      <c r="J819" s="70"/>
      <c r="K819" s="71"/>
      <c r="L819" s="70"/>
      <c r="M819" s="70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</row>
    <row r="820" spans="1:26" ht="12.75" customHeight="1">
      <c r="A820" s="70"/>
      <c r="B820" s="70"/>
      <c r="C820" s="70"/>
      <c r="D820" s="70"/>
      <c r="E820" s="70"/>
      <c r="F820" s="70"/>
      <c r="G820" s="70"/>
      <c r="H820" s="70"/>
      <c r="I820" s="70"/>
      <c r="J820" s="70"/>
      <c r="K820" s="71"/>
      <c r="L820" s="70"/>
      <c r="M820" s="70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</row>
    <row r="821" spans="1:26" ht="12.75" customHeight="1">
      <c r="A821" s="70"/>
      <c r="B821" s="70"/>
      <c r="C821" s="70"/>
      <c r="D821" s="70"/>
      <c r="E821" s="70"/>
      <c r="F821" s="70"/>
      <c r="G821" s="70"/>
      <c r="H821" s="70"/>
      <c r="I821" s="70"/>
      <c r="J821" s="70"/>
      <c r="K821" s="71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</row>
    <row r="822" spans="1:26" ht="12.75" customHeight="1">
      <c r="A822" s="70"/>
      <c r="B822" s="70"/>
      <c r="C822" s="70"/>
      <c r="D822" s="70"/>
      <c r="E822" s="70"/>
      <c r="F822" s="70"/>
      <c r="G822" s="70"/>
      <c r="H822" s="70"/>
      <c r="I822" s="70"/>
      <c r="J822" s="70"/>
      <c r="K822" s="71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</row>
    <row r="823" spans="1:26" ht="12.75" customHeight="1">
      <c r="A823" s="70"/>
      <c r="B823" s="70"/>
      <c r="C823" s="70"/>
      <c r="D823" s="70"/>
      <c r="E823" s="70"/>
      <c r="F823" s="70"/>
      <c r="G823" s="70"/>
      <c r="H823" s="70"/>
      <c r="I823" s="70"/>
      <c r="J823" s="70"/>
      <c r="K823" s="71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</row>
    <row r="824" spans="1:26" ht="12.75" customHeight="1">
      <c r="A824" s="70"/>
      <c r="B824" s="70"/>
      <c r="C824" s="70"/>
      <c r="D824" s="70"/>
      <c r="E824" s="70"/>
      <c r="F824" s="70"/>
      <c r="G824" s="70"/>
      <c r="H824" s="70"/>
      <c r="I824" s="70"/>
      <c r="J824" s="70"/>
      <c r="K824" s="71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</row>
    <row r="825" spans="1:26" ht="12.75" customHeight="1">
      <c r="A825" s="70"/>
      <c r="B825" s="70"/>
      <c r="C825" s="70"/>
      <c r="D825" s="70"/>
      <c r="E825" s="70"/>
      <c r="F825" s="70"/>
      <c r="G825" s="70"/>
      <c r="H825" s="70"/>
      <c r="I825" s="70"/>
      <c r="J825" s="70"/>
      <c r="K825" s="71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</row>
    <row r="826" spans="1:26" ht="12.75" customHeight="1">
      <c r="A826" s="70"/>
      <c r="B826" s="70"/>
      <c r="C826" s="70"/>
      <c r="D826" s="70"/>
      <c r="E826" s="70"/>
      <c r="F826" s="70"/>
      <c r="G826" s="70"/>
      <c r="H826" s="70"/>
      <c r="I826" s="70"/>
      <c r="J826" s="70"/>
      <c r="K826" s="71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</row>
    <row r="827" spans="1:26" ht="12.75" customHeight="1">
      <c r="A827" s="70"/>
      <c r="B827" s="70"/>
      <c r="C827" s="70"/>
      <c r="D827" s="70"/>
      <c r="E827" s="70"/>
      <c r="F827" s="70"/>
      <c r="G827" s="70"/>
      <c r="H827" s="70"/>
      <c r="I827" s="70"/>
      <c r="J827" s="70"/>
      <c r="K827" s="71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</row>
    <row r="828" spans="1:26" ht="12.75" customHeight="1">
      <c r="A828" s="70"/>
      <c r="B828" s="70"/>
      <c r="C828" s="70"/>
      <c r="D828" s="70"/>
      <c r="E828" s="70"/>
      <c r="F828" s="70"/>
      <c r="G828" s="70"/>
      <c r="H828" s="70"/>
      <c r="I828" s="70"/>
      <c r="J828" s="70"/>
      <c r="K828" s="71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</row>
    <row r="829" spans="1:26" ht="12.75" customHeight="1">
      <c r="A829" s="70"/>
      <c r="B829" s="70"/>
      <c r="C829" s="70"/>
      <c r="D829" s="70"/>
      <c r="E829" s="70"/>
      <c r="F829" s="70"/>
      <c r="G829" s="70"/>
      <c r="H829" s="70"/>
      <c r="I829" s="70"/>
      <c r="J829" s="70"/>
      <c r="K829" s="71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</row>
    <row r="830" spans="1:26" ht="12.75" customHeight="1">
      <c r="A830" s="70"/>
      <c r="B830" s="70"/>
      <c r="C830" s="70"/>
      <c r="D830" s="70"/>
      <c r="E830" s="70"/>
      <c r="F830" s="70"/>
      <c r="G830" s="70"/>
      <c r="H830" s="70"/>
      <c r="I830" s="70"/>
      <c r="J830" s="70"/>
      <c r="K830" s="71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</row>
    <row r="831" spans="1:26" ht="12.75" customHeight="1">
      <c r="A831" s="70"/>
      <c r="B831" s="70"/>
      <c r="C831" s="70"/>
      <c r="D831" s="70"/>
      <c r="E831" s="70"/>
      <c r="F831" s="70"/>
      <c r="G831" s="70"/>
      <c r="H831" s="70"/>
      <c r="I831" s="70"/>
      <c r="J831" s="70"/>
      <c r="K831" s="71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</row>
    <row r="832" spans="1:26" ht="12.75" customHeight="1">
      <c r="A832" s="70"/>
      <c r="B832" s="70"/>
      <c r="C832" s="70"/>
      <c r="D832" s="70"/>
      <c r="E832" s="70"/>
      <c r="F832" s="70"/>
      <c r="G832" s="70"/>
      <c r="H832" s="70"/>
      <c r="I832" s="70"/>
      <c r="J832" s="70"/>
      <c r="K832" s="71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</row>
    <row r="833" spans="1:26" ht="12.75" customHeight="1">
      <c r="A833" s="70"/>
      <c r="B833" s="70"/>
      <c r="C833" s="70"/>
      <c r="D833" s="70"/>
      <c r="E833" s="70"/>
      <c r="F833" s="70"/>
      <c r="G833" s="70"/>
      <c r="H833" s="70"/>
      <c r="I833" s="70"/>
      <c r="J833" s="70"/>
      <c r="K833" s="71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</row>
    <row r="834" spans="1:26" ht="12.75" customHeight="1">
      <c r="A834" s="70"/>
      <c r="B834" s="70"/>
      <c r="C834" s="70"/>
      <c r="D834" s="70"/>
      <c r="E834" s="70"/>
      <c r="F834" s="70"/>
      <c r="G834" s="70"/>
      <c r="H834" s="70"/>
      <c r="I834" s="70"/>
      <c r="J834" s="70"/>
      <c r="K834" s="71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</row>
    <row r="835" spans="1:26" ht="12.75" customHeight="1">
      <c r="A835" s="70"/>
      <c r="B835" s="70"/>
      <c r="C835" s="70"/>
      <c r="D835" s="70"/>
      <c r="E835" s="70"/>
      <c r="F835" s="70"/>
      <c r="G835" s="70"/>
      <c r="H835" s="70"/>
      <c r="I835" s="70"/>
      <c r="J835" s="70"/>
      <c r="K835" s="71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</row>
    <row r="836" spans="1:26" ht="12.75" customHeight="1">
      <c r="A836" s="70"/>
      <c r="B836" s="70"/>
      <c r="C836" s="70"/>
      <c r="D836" s="70"/>
      <c r="E836" s="70"/>
      <c r="F836" s="70"/>
      <c r="G836" s="70"/>
      <c r="H836" s="70"/>
      <c r="I836" s="70"/>
      <c r="J836" s="70"/>
      <c r="K836" s="71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</row>
    <row r="837" spans="1:26" ht="12.75" customHeight="1">
      <c r="A837" s="70"/>
      <c r="B837" s="70"/>
      <c r="C837" s="70"/>
      <c r="D837" s="70"/>
      <c r="E837" s="70"/>
      <c r="F837" s="70"/>
      <c r="G837" s="70"/>
      <c r="H837" s="70"/>
      <c r="I837" s="70"/>
      <c r="J837" s="70"/>
      <c r="K837" s="71"/>
      <c r="L837" s="70"/>
      <c r="M837" s="70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</row>
    <row r="838" spans="1:26" ht="12.75" customHeight="1">
      <c r="A838" s="70"/>
      <c r="B838" s="70"/>
      <c r="C838" s="70"/>
      <c r="D838" s="70"/>
      <c r="E838" s="70"/>
      <c r="F838" s="70"/>
      <c r="G838" s="70"/>
      <c r="H838" s="70"/>
      <c r="I838" s="70"/>
      <c r="J838" s="70"/>
      <c r="K838" s="71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</row>
    <row r="839" spans="1:26" ht="12.75" customHeight="1">
      <c r="A839" s="70"/>
      <c r="B839" s="70"/>
      <c r="C839" s="70"/>
      <c r="D839" s="70"/>
      <c r="E839" s="70"/>
      <c r="F839" s="70"/>
      <c r="G839" s="70"/>
      <c r="H839" s="70"/>
      <c r="I839" s="70"/>
      <c r="J839" s="70"/>
      <c r="K839" s="71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</row>
    <row r="840" spans="1:26" ht="12.75" customHeight="1">
      <c r="A840" s="70"/>
      <c r="B840" s="70"/>
      <c r="C840" s="70"/>
      <c r="D840" s="70"/>
      <c r="E840" s="70"/>
      <c r="F840" s="70"/>
      <c r="G840" s="70"/>
      <c r="H840" s="70"/>
      <c r="I840" s="70"/>
      <c r="J840" s="70"/>
      <c r="K840" s="71"/>
      <c r="L840" s="70"/>
      <c r="M840" s="70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</row>
    <row r="841" spans="1:26" ht="12.75" customHeight="1">
      <c r="A841" s="70"/>
      <c r="B841" s="70"/>
      <c r="C841" s="70"/>
      <c r="D841" s="70"/>
      <c r="E841" s="70"/>
      <c r="F841" s="70"/>
      <c r="G841" s="70"/>
      <c r="H841" s="70"/>
      <c r="I841" s="70"/>
      <c r="J841" s="70"/>
      <c r="K841" s="71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</row>
    <row r="842" spans="1:26" ht="12.75" customHeight="1">
      <c r="A842" s="70"/>
      <c r="B842" s="70"/>
      <c r="C842" s="70"/>
      <c r="D842" s="70"/>
      <c r="E842" s="70"/>
      <c r="F842" s="70"/>
      <c r="G842" s="70"/>
      <c r="H842" s="70"/>
      <c r="I842" s="70"/>
      <c r="J842" s="70"/>
      <c r="K842" s="71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</row>
    <row r="843" spans="1:26" ht="12.75" customHeight="1">
      <c r="A843" s="70"/>
      <c r="B843" s="70"/>
      <c r="C843" s="70"/>
      <c r="D843" s="70"/>
      <c r="E843" s="70"/>
      <c r="F843" s="70"/>
      <c r="G843" s="70"/>
      <c r="H843" s="70"/>
      <c r="I843" s="70"/>
      <c r="J843" s="70"/>
      <c r="K843" s="71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</row>
    <row r="844" spans="1:26" ht="12.75" customHeight="1">
      <c r="A844" s="70"/>
      <c r="B844" s="70"/>
      <c r="C844" s="70"/>
      <c r="D844" s="70"/>
      <c r="E844" s="70"/>
      <c r="F844" s="70"/>
      <c r="G844" s="70"/>
      <c r="H844" s="70"/>
      <c r="I844" s="70"/>
      <c r="J844" s="70"/>
      <c r="K844" s="71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</row>
    <row r="845" spans="1:26" ht="12.75" customHeight="1">
      <c r="A845" s="70"/>
      <c r="B845" s="70"/>
      <c r="C845" s="70"/>
      <c r="D845" s="70"/>
      <c r="E845" s="70"/>
      <c r="F845" s="70"/>
      <c r="G845" s="70"/>
      <c r="H845" s="70"/>
      <c r="I845" s="70"/>
      <c r="J845" s="70"/>
      <c r="K845" s="71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</row>
    <row r="846" spans="1:26" ht="12.75" customHeight="1">
      <c r="A846" s="70"/>
      <c r="B846" s="70"/>
      <c r="C846" s="70"/>
      <c r="D846" s="70"/>
      <c r="E846" s="70"/>
      <c r="F846" s="70"/>
      <c r="G846" s="70"/>
      <c r="H846" s="70"/>
      <c r="I846" s="70"/>
      <c r="J846" s="70"/>
      <c r="K846" s="71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</row>
    <row r="847" spans="1:26" ht="12.75" customHeight="1">
      <c r="A847" s="70"/>
      <c r="B847" s="70"/>
      <c r="C847" s="70"/>
      <c r="D847" s="70"/>
      <c r="E847" s="70"/>
      <c r="F847" s="70"/>
      <c r="G847" s="70"/>
      <c r="H847" s="70"/>
      <c r="I847" s="70"/>
      <c r="J847" s="70"/>
      <c r="K847" s="71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</row>
    <row r="848" spans="1:26" ht="12.75" customHeight="1">
      <c r="A848" s="70"/>
      <c r="B848" s="70"/>
      <c r="C848" s="70"/>
      <c r="D848" s="70"/>
      <c r="E848" s="70"/>
      <c r="F848" s="70"/>
      <c r="G848" s="70"/>
      <c r="H848" s="70"/>
      <c r="I848" s="70"/>
      <c r="J848" s="70"/>
      <c r="K848" s="71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</row>
    <row r="849" spans="1:26" ht="12.75" customHeight="1">
      <c r="A849" s="70"/>
      <c r="B849" s="70"/>
      <c r="C849" s="70"/>
      <c r="D849" s="70"/>
      <c r="E849" s="70"/>
      <c r="F849" s="70"/>
      <c r="G849" s="70"/>
      <c r="H849" s="70"/>
      <c r="I849" s="70"/>
      <c r="J849" s="70"/>
      <c r="K849" s="71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</row>
    <row r="850" spans="1:26" ht="12.75" customHeight="1">
      <c r="A850" s="70"/>
      <c r="B850" s="70"/>
      <c r="C850" s="70"/>
      <c r="D850" s="70"/>
      <c r="E850" s="70"/>
      <c r="F850" s="70"/>
      <c r="G850" s="70"/>
      <c r="H850" s="70"/>
      <c r="I850" s="70"/>
      <c r="J850" s="70"/>
      <c r="K850" s="71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</row>
    <row r="851" spans="1:26" ht="12.75" customHeight="1">
      <c r="A851" s="70"/>
      <c r="B851" s="70"/>
      <c r="C851" s="70"/>
      <c r="D851" s="70"/>
      <c r="E851" s="70"/>
      <c r="F851" s="70"/>
      <c r="G851" s="70"/>
      <c r="H851" s="70"/>
      <c r="I851" s="70"/>
      <c r="J851" s="70"/>
      <c r="K851" s="71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</row>
    <row r="852" spans="1:26" ht="12.75" customHeight="1">
      <c r="A852" s="70"/>
      <c r="B852" s="70"/>
      <c r="C852" s="70"/>
      <c r="D852" s="70"/>
      <c r="E852" s="70"/>
      <c r="F852" s="70"/>
      <c r="G852" s="70"/>
      <c r="H852" s="70"/>
      <c r="I852" s="70"/>
      <c r="J852" s="70"/>
      <c r="K852" s="71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</row>
    <row r="853" spans="1:26" ht="12.75" customHeight="1">
      <c r="A853" s="70"/>
      <c r="B853" s="70"/>
      <c r="C853" s="70"/>
      <c r="D853" s="70"/>
      <c r="E853" s="70"/>
      <c r="F853" s="70"/>
      <c r="G853" s="70"/>
      <c r="H853" s="70"/>
      <c r="I853" s="70"/>
      <c r="J853" s="70"/>
      <c r="K853" s="71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</row>
    <row r="854" spans="1:26" ht="12.75" customHeight="1">
      <c r="A854" s="70"/>
      <c r="B854" s="70"/>
      <c r="C854" s="70"/>
      <c r="D854" s="70"/>
      <c r="E854" s="70"/>
      <c r="F854" s="70"/>
      <c r="G854" s="70"/>
      <c r="H854" s="70"/>
      <c r="I854" s="70"/>
      <c r="J854" s="70"/>
      <c r="K854" s="71"/>
      <c r="L854" s="70"/>
      <c r="M854" s="70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</row>
    <row r="855" spans="1:26" ht="12.75" customHeight="1">
      <c r="A855" s="70"/>
      <c r="B855" s="70"/>
      <c r="C855" s="70"/>
      <c r="D855" s="70"/>
      <c r="E855" s="70"/>
      <c r="F855" s="70"/>
      <c r="G855" s="70"/>
      <c r="H855" s="70"/>
      <c r="I855" s="70"/>
      <c r="J855" s="70"/>
      <c r="K855" s="71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</row>
    <row r="856" spans="1:26" ht="12.75" customHeight="1">
      <c r="A856" s="70"/>
      <c r="B856" s="70"/>
      <c r="C856" s="70"/>
      <c r="D856" s="70"/>
      <c r="E856" s="70"/>
      <c r="F856" s="70"/>
      <c r="G856" s="70"/>
      <c r="H856" s="70"/>
      <c r="I856" s="70"/>
      <c r="J856" s="70"/>
      <c r="K856" s="71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</row>
    <row r="857" spans="1:26" ht="12.75" customHeight="1">
      <c r="A857" s="70"/>
      <c r="B857" s="70"/>
      <c r="C857" s="70"/>
      <c r="D857" s="70"/>
      <c r="E857" s="70"/>
      <c r="F857" s="70"/>
      <c r="G857" s="70"/>
      <c r="H857" s="70"/>
      <c r="I857" s="70"/>
      <c r="J857" s="70"/>
      <c r="K857" s="71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</row>
    <row r="858" spans="1:26" ht="12.75" customHeight="1">
      <c r="A858" s="70"/>
      <c r="B858" s="70"/>
      <c r="C858" s="70"/>
      <c r="D858" s="70"/>
      <c r="E858" s="70"/>
      <c r="F858" s="70"/>
      <c r="G858" s="70"/>
      <c r="H858" s="70"/>
      <c r="I858" s="70"/>
      <c r="J858" s="70"/>
      <c r="K858" s="71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</row>
    <row r="859" spans="1:26" ht="12.75" customHeight="1">
      <c r="A859" s="70"/>
      <c r="B859" s="70"/>
      <c r="C859" s="70"/>
      <c r="D859" s="70"/>
      <c r="E859" s="70"/>
      <c r="F859" s="70"/>
      <c r="G859" s="70"/>
      <c r="H859" s="70"/>
      <c r="I859" s="70"/>
      <c r="J859" s="70"/>
      <c r="K859" s="71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</row>
    <row r="860" spans="1:26" ht="12.75" customHeight="1">
      <c r="A860" s="70"/>
      <c r="B860" s="70"/>
      <c r="C860" s="70"/>
      <c r="D860" s="70"/>
      <c r="E860" s="70"/>
      <c r="F860" s="70"/>
      <c r="G860" s="70"/>
      <c r="H860" s="70"/>
      <c r="I860" s="70"/>
      <c r="J860" s="70"/>
      <c r="K860" s="71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</row>
    <row r="861" spans="1:26" ht="12.75" customHeight="1">
      <c r="A861" s="70"/>
      <c r="B861" s="70"/>
      <c r="C861" s="70"/>
      <c r="D861" s="70"/>
      <c r="E861" s="70"/>
      <c r="F861" s="70"/>
      <c r="G861" s="70"/>
      <c r="H861" s="70"/>
      <c r="I861" s="70"/>
      <c r="J861" s="70"/>
      <c r="K861" s="71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</row>
    <row r="862" spans="1:26" ht="12.75" customHeight="1">
      <c r="A862" s="70"/>
      <c r="B862" s="70"/>
      <c r="C862" s="70"/>
      <c r="D862" s="70"/>
      <c r="E862" s="70"/>
      <c r="F862" s="70"/>
      <c r="G862" s="70"/>
      <c r="H862" s="70"/>
      <c r="I862" s="70"/>
      <c r="J862" s="70"/>
      <c r="K862" s="71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</row>
    <row r="863" spans="1:26" ht="12.75" customHeight="1">
      <c r="A863" s="70"/>
      <c r="B863" s="70"/>
      <c r="C863" s="70"/>
      <c r="D863" s="70"/>
      <c r="E863" s="70"/>
      <c r="F863" s="70"/>
      <c r="G863" s="70"/>
      <c r="H863" s="70"/>
      <c r="I863" s="70"/>
      <c r="J863" s="70"/>
      <c r="K863" s="71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</row>
    <row r="864" spans="1:26" ht="12.75" customHeight="1">
      <c r="A864" s="70"/>
      <c r="B864" s="70"/>
      <c r="C864" s="70"/>
      <c r="D864" s="70"/>
      <c r="E864" s="70"/>
      <c r="F864" s="70"/>
      <c r="G864" s="70"/>
      <c r="H864" s="70"/>
      <c r="I864" s="70"/>
      <c r="J864" s="70"/>
      <c r="K864" s="71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</row>
    <row r="865" spans="1:26" ht="12.75" customHeight="1">
      <c r="A865" s="70"/>
      <c r="B865" s="70"/>
      <c r="C865" s="70"/>
      <c r="D865" s="70"/>
      <c r="E865" s="70"/>
      <c r="F865" s="70"/>
      <c r="G865" s="70"/>
      <c r="H865" s="70"/>
      <c r="I865" s="70"/>
      <c r="J865" s="70"/>
      <c r="K865" s="71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</row>
    <row r="866" spans="1:26" ht="12.75" customHeight="1">
      <c r="A866" s="70"/>
      <c r="B866" s="70"/>
      <c r="C866" s="70"/>
      <c r="D866" s="70"/>
      <c r="E866" s="70"/>
      <c r="F866" s="70"/>
      <c r="G866" s="70"/>
      <c r="H866" s="70"/>
      <c r="I866" s="70"/>
      <c r="J866" s="70"/>
      <c r="K866" s="71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</row>
    <row r="867" spans="1:26" ht="12.75" customHeight="1">
      <c r="A867" s="70"/>
      <c r="B867" s="70"/>
      <c r="C867" s="70"/>
      <c r="D867" s="70"/>
      <c r="E867" s="70"/>
      <c r="F867" s="70"/>
      <c r="G867" s="70"/>
      <c r="H867" s="70"/>
      <c r="I867" s="70"/>
      <c r="J867" s="70"/>
      <c r="K867" s="71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</row>
    <row r="868" spans="1:26" ht="12.75" customHeight="1">
      <c r="A868" s="70"/>
      <c r="B868" s="70"/>
      <c r="C868" s="70"/>
      <c r="D868" s="70"/>
      <c r="E868" s="70"/>
      <c r="F868" s="70"/>
      <c r="G868" s="70"/>
      <c r="H868" s="70"/>
      <c r="I868" s="70"/>
      <c r="J868" s="70"/>
      <c r="K868" s="71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</row>
    <row r="869" spans="1:26" ht="12.75" customHeight="1">
      <c r="A869" s="70"/>
      <c r="B869" s="70"/>
      <c r="C869" s="70"/>
      <c r="D869" s="70"/>
      <c r="E869" s="70"/>
      <c r="F869" s="70"/>
      <c r="G869" s="70"/>
      <c r="H869" s="70"/>
      <c r="I869" s="70"/>
      <c r="J869" s="70"/>
      <c r="K869" s="71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</row>
    <row r="870" spans="1:26" ht="12.75" customHeight="1">
      <c r="A870" s="70"/>
      <c r="B870" s="70"/>
      <c r="C870" s="70"/>
      <c r="D870" s="70"/>
      <c r="E870" s="70"/>
      <c r="F870" s="70"/>
      <c r="G870" s="70"/>
      <c r="H870" s="70"/>
      <c r="I870" s="70"/>
      <c r="J870" s="70"/>
      <c r="K870" s="71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</row>
    <row r="871" spans="1:26" ht="12.75" customHeight="1">
      <c r="A871" s="70"/>
      <c r="B871" s="70"/>
      <c r="C871" s="70"/>
      <c r="D871" s="70"/>
      <c r="E871" s="70"/>
      <c r="F871" s="70"/>
      <c r="G871" s="70"/>
      <c r="H871" s="70"/>
      <c r="I871" s="70"/>
      <c r="J871" s="70"/>
      <c r="K871" s="71"/>
      <c r="L871" s="70"/>
      <c r="M871" s="70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/>
      <c r="Y871" s="70"/>
      <c r="Z871" s="70"/>
    </row>
    <row r="872" spans="1:26" ht="12.75" customHeight="1">
      <c r="A872" s="70"/>
      <c r="B872" s="70"/>
      <c r="C872" s="70"/>
      <c r="D872" s="70"/>
      <c r="E872" s="70"/>
      <c r="F872" s="70"/>
      <c r="G872" s="70"/>
      <c r="H872" s="70"/>
      <c r="I872" s="70"/>
      <c r="J872" s="70"/>
      <c r="K872" s="71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</row>
    <row r="873" spans="1:26" ht="12.75" customHeight="1">
      <c r="A873" s="70"/>
      <c r="B873" s="70"/>
      <c r="C873" s="70"/>
      <c r="D873" s="70"/>
      <c r="E873" s="70"/>
      <c r="F873" s="70"/>
      <c r="G873" s="70"/>
      <c r="H873" s="70"/>
      <c r="I873" s="70"/>
      <c r="J873" s="70"/>
      <c r="K873" s="71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</row>
    <row r="874" spans="1:26" ht="12.75" customHeight="1">
      <c r="A874" s="70"/>
      <c r="B874" s="70"/>
      <c r="C874" s="70"/>
      <c r="D874" s="70"/>
      <c r="E874" s="70"/>
      <c r="F874" s="70"/>
      <c r="G874" s="70"/>
      <c r="H874" s="70"/>
      <c r="I874" s="70"/>
      <c r="J874" s="70"/>
      <c r="K874" s="71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</row>
    <row r="875" spans="1:26" ht="12.75" customHeight="1">
      <c r="A875" s="70"/>
      <c r="B875" s="70"/>
      <c r="C875" s="70"/>
      <c r="D875" s="70"/>
      <c r="E875" s="70"/>
      <c r="F875" s="70"/>
      <c r="G875" s="70"/>
      <c r="H875" s="70"/>
      <c r="I875" s="70"/>
      <c r="J875" s="70"/>
      <c r="K875" s="71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</row>
    <row r="876" spans="1:26" ht="12.75" customHeight="1">
      <c r="A876" s="70"/>
      <c r="B876" s="70"/>
      <c r="C876" s="70"/>
      <c r="D876" s="70"/>
      <c r="E876" s="70"/>
      <c r="F876" s="70"/>
      <c r="G876" s="70"/>
      <c r="H876" s="70"/>
      <c r="I876" s="70"/>
      <c r="J876" s="70"/>
      <c r="K876" s="71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</row>
    <row r="877" spans="1:26" ht="12.75" customHeight="1">
      <c r="A877" s="70"/>
      <c r="B877" s="70"/>
      <c r="C877" s="70"/>
      <c r="D877" s="70"/>
      <c r="E877" s="70"/>
      <c r="F877" s="70"/>
      <c r="G877" s="70"/>
      <c r="H877" s="70"/>
      <c r="I877" s="70"/>
      <c r="J877" s="70"/>
      <c r="K877" s="71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</row>
    <row r="878" spans="1:26" ht="12.75" customHeight="1">
      <c r="A878" s="70"/>
      <c r="B878" s="70"/>
      <c r="C878" s="70"/>
      <c r="D878" s="70"/>
      <c r="E878" s="70"/>
      <c r="F878" s="70"/>
      <c r="G878" s="70"/>
      <c r="H878" s="70"/>
      <c r="I878" s="70"/>
      <c r="J878" s="70"/>
      <c r="K878" s="71"/>
      <c r="L878" s="70"/>
      <c r="M878" s="70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</row>
    <row r="879" spans="1:26" ht="12.75" customHeight="1">
      <c r="A879" s="70"/>
      <c r="B879" s="70"/>
      <c r="C879" s="70"/>
      <c r="D879" s="70"/>
      <c r="E879" s="70"/>
      <c r="F879" s="70"/>
      <c r="G879" s="70"/>
      <c r="H879" s="70"/>
      <c r="I879" s="70"/>
      <c r="J879" s="70"/>
      <c r="K879" s="71"/>
      <c r="L879" s="70"/>
      <c r="M879" s="70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</row>
    <row r="880" spans="1:26" ht="12.75" customHeight="1">
      <c r="A880" s="70"/>
      <c r="B880" s="70"/>
      <c r="C880" s="70"/>
      <c r="D880" s="70"/>
      <c r="E880" s="70"/>
      <c r="F880" s="70"/>
      <c r="G880" s="70"/>
      <c r="H880" s="70"/>
      <c r="I880" s="70"/>
      <c r="J880" s="70"/>
      <c r="K880" s="71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</row>
    <row r="881" spans="1:26" ht="12.75" customHeight="1">
      <c r="A881" s="70"/>
      <c r="B881" s="70"/>
      <c r="C881" s="70"/>
      <c r="D881" s="70"/>
      <c r="E881" s="70"/>
      <c r="F881" s="70"/>
      <c r="G881" s="70"/>
      <c r="H881" s="70"/>
      <c r="I881" s="70"/>
      <c r="J881" s="70"/>
      <c r="K881" s="71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</row>
    <row r="882" spans="1:26" ht="12.75" customHeight="1">
      <c r="A882" s="70"/>
      <c r="B882" s="70"/>
      <c r="C882" s="70"/>
      <c r="D882" s="70"/>
      <c r="E882" s="70"/>
      <c r="F882" s="70"/>
      <c r="G882" s="70"/>
      <c r="H882" s="70"/>
      <c r="I882" s="70"/>
      <c r="J882" s="70"/>
      <c r="K882" s="71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</row>
    <row r="883" spans="1:26" ht="12.75" customHeight="1">
      <c r="A883" s="70"/>
      <c r="B883" s="70"/>
      <c r="C883" s="70"/>
      <c r="D883" s="70"/>
      <c r="E883" s="70"/>
      <c r="F883" s="70"/>
      <c r="G883" s="70"/>
      <c r="H883" s="70"/>
      <c r="I883" s="70"/>
      <c r="J883" s="70"/>
      <c r="K883" s="71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</row>
    <row r="884" spans="1:26" ht="12.75" customHeight="1">
      <c r="A884" s="70"/>
      <c r="B884" s="70"/>
      <c r="C884" s="70"/>
      <c r="D884" s="70"/>
      <c r="E884" s="70"/>
      <c r="F884" s="70"/>
      <c r="G884" s="70"/>
      <c r="H884" s="70"/>
      <c r="I884" s="70"/>
      <c r="J884" s="70"/>
      <c r="K884" s="71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</row>
    <row r="885" spans="1:26" ht="12.75" customHeight="1">
      <c r="A885" s="70"/>
      <c r="B885" s="70"/>
      <c r="C885" s="70"/>
      <c r="D885" s="70"/>
      <c r="E885" s="70"/>
      <c r="F885" s="70"/>
      <c r="G885" s="70"/>
      <c r="H885" s="70"/>
      <c r="I885" s="70"/>
      <c r="J885" s="70"/>
      <c r="K885" s="71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</row>
    <row r="886" spans="1:26" ht="12.75" customHeight="1">
      <c r="A886" s="70"/>
      <c r="B886" s="70"/>
      <c r="C886" s="70"/>
      <c r="D886" s="70"/>
      <c r="E886" s="70"/>
      <c r="F886" s="70"/>
      <c r="G886" s="70"/>
      <c r="H886" s="70"/>
      <c r="I886" s="70"/>
      <c r="J886" s="70"/>
      <c r="K886" s="71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</row>
    <row r="887" spans="1:26" ht="12.75" customHeight="1">
      <c r="A887" s="70"/>
      <c r="B887" s="70"/>
      <c r="C887" s="70"/>
      <c r="D887" s="70"/>
      <c r="E887" s="70"/>
      <c r="F887" s="70"/>
      <c r="G887" s="70"/>
      <c r="H887" s="70"/>
      <c r="I887" s="70"/>
      <c r="J887" s="70"/>
      <c r="K887" s="71"/>
      <c r="L887" s="70"/>
      <c r="M887" s="70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</row>
    <row r="888" spans="1:26" ht="12.75" customHeight="1">
      <c r="A888" s="70"/>
      <c r="B888" s="70"/>
      <c r="C888" s="70"/>
      <c r="D888" s="70"/>
      <c r="E888" s="70"/>
      <c r="F888" s="70"/>
      <c r="G888" s="70"/>
      <c r="H888" s="70"/>
      <c r="I888" s="70"/>
      <c r="J888" s="70"/>
      <c r="K888" s="71"/>
      <c r="L888" s="70"/>
      <c r="M888" s="70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</row>
    <row r="889" spans="1:26" ht="12.75" customHeight="1">
      <c r="A889" s="70"/>
      <c r="B889" s="70"/>
      <c r="C889" s="70"/>
      <c r="D889" s="70"/>
      <c r="E889" s="70"/>
      <c r="F889" s="70"/>
      <c r="G889" s="70"/>
      <c r="H889" s="70"/>
      <c r="I889" s="70"/>
      <c r="J889" s="70"/>
      <c r="K889" s="71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</row>
    <row r="890" spans="1:26" ht="12.75" customHeight="1">
      <c r="A890" s="70"/>
      <c r="B890" s="70"/>
      <c r="C890" s="70"/>
      <c r="D890" s="70"/>
      <c r="E890" s="70"/>
      <c r="F890" s="70"/>
      <c r="G890" s="70"/>
      <c r="H890" s="70"/>
      <c r="I890" s="70"/>
      <c r="J890" s="70"/>
      <c r="K890" s="71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</row>
    <row r="891" spans="1:26" ht="12.75" customHeight="1">
      <c r="A891" s="70"/>
      <c r="B891" s="70"/>
      <c r="C891" s="70"/>
      <c r="D891" s="70"/>
      <c r="E891" s="70"/>
      <c r="F891" s="70"/>
      <c r="G891" s="70"/>
      <c r="H891" s="70"/>
      <c r="I891" s="70"/>
      <c r="J891" s="70"/>
      <c r="K891" s="71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</row>
    <row r="892" spans="1:26" ht="12.75" customHeight="1">
      <c r="A892" s="70"/>
      <c r="B892" s="70"/>
      <c r="C892" s="70"/>
      <c r="D892" s="70"/>
      <c r="E892" s="70"/>
      <c r="F892" s="70"/>
      <c r="G892" s="70"/>
      <c r="H892" s="70"/>
      <c r="I892" s="70"/>
      <c r="J892" s="70"/>
      <c r="K892" s="71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</row>
    <row r="893" spans="1:26" ht="12.75" customHeight="1">
      <c r="A893" s="70"/>
      <c r="B893" s="70"/>
      <c r="C893" s="70"/>
      <c r="D893" s="70"/>
      <c r="E893" s="70"/>
      <c r="F893" s="70"/>
      <c r="G893" s="70"/>
      <c r="H893" s="70"/>
      <c r="I893" s="70"/>
      <c r="J893" s="70"/>
      <c r="K893" s="71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</row>
    <row r="894" spans="1:26" ht="12.75" customHeight="1">
      <c r="A894" s="70"/>
      <c r="B894" s="70"/>
      <c r="C894" s="70"/>
      <c r="D894" s="70"/>
      <c r="E894" s="70"/>
      <c r="F894" s="70"/>
      <c r="G894" s="70"/>
      <c r="H894" s="70"/>
      <c r="I894" s="70"/>
      <c r="J894" s="70"/>
      <c r="K894" s="71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</row>
    <row r="895" spans="1:26" ht="12.75" customHeight="1">
      <c r="A895" s="70"/>
      <c r="B895" s="70"/>
      <c r="C895" s="70"/>
      <c r="D895" s="70"/>
      <c r="E895" s="70"/>
      <c r="F895" s="70"/>
      <c r="G895" s="70"/>
      <c r="H895" s="70"/>
      <c r="I895" s="70"/>
      <c r="J895" s="70"/>
      <c r="K895" s="71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</row>
    <row r="896" spans="1:26" ht="12.75" customHeight="1">
      <c r="A896" s="70"/>
      <c r="B896" s="70"/>
      <c r="C896" s="70"/>
      <c r="D896" s="70"/>
      <c r="E896" s="70"/>
      <c r="F896" s="70"/>
      <c r="G896" s="70"/>
      <c r="H896" s="70"/>
      <c r="I896" s="70"/>
      <c r="J896" s="70"/>
      <c r="K896" s="71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</row>
    <row r="897" spans="1:26" ht="12.75" customHeight="1">
      <c r="A897" s="70"/>
      <c r="B897" s="70"/>
      <c r="C897" s="70"/>
      <c r="D897" s="70"/>
      <c r="E897" s="70"/>
      <c r="F897" s="70"/>
      <c r="G897" s="70"/>
      <c r="H897" s="70"/>
      <c r="I897" s="70"/>
      <c r="J897" s="70"/>
      <c r="K897" s="71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</row>
    <row r="898" spans="1:26" ht="12.75" customHeight="1">
      <c r="A898" s="70"/>
      <c r="B898" s="70"/>
      <c r="C898" s="70"/>
      <c r="D898" s="70"/>
      <c r="E898" s="70"/>
      <c r="F898" s="70"/>
      <c r="G898" s="70"/>
      <c r="H898" s="70"/>
      <c r="I898" s="70"/>
      <c r="J898" s="70"/>
      <c r="K898" s="71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</row>
    <row r="899" spans="1:26" ht="12.75" customHeight="1">
      <c r="A899" s="70"/>
      <c r="B899" s="70"/>
      <c r="C899" s="70"/>
      <c r="D899" s="70"/>
      <c r="E899" s="70"/>
      <c r="F899" s="70"/>
      <c r="G899" s="70"/>
      <c r="H899" s="70"/>
      <c r="I899" s="70"/>
      <c r="J899" s="70"/>
      <c r="K899" s="71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</row>
    <row r="900" spans="1:26" ht="12.75" customHeight="1">
      <c r="A900" s="70"/>
      <c r="B900" s="70"/>
      <c r="C900" s="70"/>
      <c r="D900" s="70"/>
      <c r="E900" s="70"/>
      <c r="F900" s="70"/>
      <c r="G900" s="70"/>
      <c r="H900" s="70"/>
      <c r="I900" s="70"/>
      <c r="J900" s="70"/>
      <c r="K900" s="71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</row>
    <row r="901" spans="1:26" ht="12.75" customHeight="1">
      <c r="A901" s="70"/>
      <c r="B901" s="70"/>
      <c r="C901" s="70"/>
      <c r="D901" s="70"/>
      <c r="E901" s="70"/>
      <c r="F901" s="70"/>
      <c r="G901" s="70"/>
      <c r="H901" s="70"/>
      <c r="I901" s="70"/>
      <c r="J901" s="70"/>
      <c r="K901" s="71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</row>
    <row r="902" spans="1:26" ht="12.75" customHeight="1">
      <c r="A902" s="70"/>
      <c r="B902" s="70"/>
      <c r="C902" s="70"/>
      <c r="D902" s="70"/>
      <c r="E902" s="70"/>
      <c r="F902" s="70"/>
      <c r="G902" s="70"/>
      <c r="H902" s="70"/>
      <c r="I902" s="70"/>
      <c r="J902" s="70"/>
      <c r="K902" s="71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</row>
    <row r="903" spans="1:26" ht="12.75" customHeight="1">
      <c r="A903" s="70"/>
      <c r="B903" s="70"/>
      <c r="C903" s="70"/>
      <c r="D903" s="70"/>
      <c r="E903" s="70"/>
      <c r="F903" s="70"/>
      <c r="G903" s="70"/>
      <c r="H903" s="70"/>
      <c r="I903" s="70"/>
      <c r="J903" s="70"/>
      <c r="K903" s="71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</row>
    <row r="904" spans="1:26" ht="12.75" customHeight="1">
      <c r="A904" s="70"/>
      <c r="B904" s="70"/>
      <c r="C904" s="70"/>
      <c r="D904" s="70"/>
      <c r="E904" s="70"/>
      <c r="F904" s="70"/>
      <c r="G904" s="70"/>
      <c r="H904" s="70"/>
      <c r="I904" s="70"/>
      <c r="J904" s="70"/>
      <c r="K904" s="71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</row>
    <row r="905" spans="1:26" ht="12.75" customHeight="1">
      <c r="A905" s="70"/>
      <c r="B905" s="70"/>
      <c r="C905" s="70"/>
      <c r="D905" s="70"/>
      <c r="E905" s="70"/>
      <c r="F905" s="70"/>
      <c r="G905" s="70"/>
      <c r="H905" s="70"/>
      <c r="I905" s="70"/>
      <c r="J905" s="70"/>
      <c r="K905" s="71"/>
      <c r="L905" s="70"/>
      <c r="M905" s="70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</row>
    <row r="906" spans="1:26" ht="12.75" customHeight="1">
      <c r="A906" s="70"/>
      <c r="B906" s="70"/>
      <c r="C906" s="70"/>
      <c r="D906" s="70"/>
      <c r="E906" s="70"/>
      <c r="F906" s="70"/>
      <c r="G906" s="70"/>
      <c r="H906" s="70"/>
      <c r="I906" s="70"/>
      <c r="J906" s="70"/>
      <c r="K906" s="71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</row>
    <row r="907" spans="1:26" ht="12.75" customHeight="1">
      <c r="A907" s="70"/>
      <c r="B907" s="70"/>
      <c r="C907" s="70"/>
      <c r="D907" s="70"/>
      <c r="E907" s="70"/>
      <c r="F907" s="70"/>
      <c r="G907" s="70"/>
      <c r="H907" s="70"/>
      <c r="I907" s="70"/>
      <c r="J907" s="70"/>
      <c r="K907" s="71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</row>
    <row r="908" spans="1:26" ht="12.75" customHeight="1">
      <c r="A908" s="70"/>
      <c r="B908" s="70"/>
      <c r="C908" s="70"/>
      <c r="D908" s="70"/>
      <c r="E908" s="70"/>
      <c r="F908" s="70"/>
      <c r="G908" s="70"/>
      <c r="H908" s="70"/>
      <c r="I908" s="70"/>
      <c r="J908" s="70"/>
      <c r="K908" s="71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</row>
    <row r="909" spans="1:26" ht="12.75" customHeight="1">
      <c r="A909" s="70"/>
      <c r="B909" s="70"/>
      <c r="C909" s="70"/>
      <c r="D909" s="70"/>
      <c r="E909" s="70"/>
      <c r="F909" s="70"/>
      <c r="G909" s="70"/>
      <c r="H909" s="70"/>
      <c r="I909" s="70"/>
      <c r="J909" s="70"/>
      <c r="K909" s="71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</row>
    <row r="910" spans="1:26" ht="12.75" customHeight="1">
      <c r="A910" s="70"/>
      <c r="B910" s="70"/>
      <c r="C910" s="70"/>
      <c r="D910" s="70"/>
      <c r="E910" s="70"/>
      <c r="F910" s="70"/>
      <c r="G910" s="70"/>
      <c r="H910" s="70"/>
      <c r="I910" s="70"/>
      <c r="J910" s="70"/>
      <c r="K910" s="71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</row>
    <row r="911" spans="1:26" ht="12.75" customHeight="1">
      <c r="A911" s="70"/>
      <c r="B911" s="70"/>
      <c r="C911" s="70"/>
      <c r="D911" s="70"/>
      <c r="E911" s="70"/>
      <c r="F911" s="70"/>
      <c r="G911" s="70"/>
      <c r="H911" s="70"/>
      <c r="I911" s="70"/>
      <c r="J911" s="70"/>
      <c r="K911" s="71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</row>
    <row r="912" spans="1:26" ht="12.75" customHeight="1">
      <c r="A912" s="70"/>
      <c r="B912" s="70"/>
      <c r="C912" s="70"/>
      <c r="D912" s="70"/>
      <c r="E912" s="70"/>
      <c r="F912" s="70"/>
      <c r="G912" s="70"/>
      <c r="H912" s="70"/>
      <c r="I912" s="70"/>
      <c r="J912" s="70"/>
      <c r="K912" s="71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</row>
    <row r="913" spans="1:26" ht="12.75" customHeight="1">
      <c r="A913" s="70"/>
      <c r="B913" s="70"/>
      <c r="C913" s="70"/>
      <c r="D913" s="70"/>
      <c r="E913" s="70"/>
      <c r="F913" s="70"/>
      <c r="G913" s="70"/>
      <c r="H913" s="70"/>
      <c r="I913" s="70"/>
      <c r="J913" s="70"/>
      <c r="K913" s="71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</row>
    <row r="914" spans="1:26" ht="12.75" customHeight="1">
      <c r="A914" s="70"/>
      <c r="B914" s="70"/>
      <c r="C914" s="70"/>
      <c r="D914" s="70"/>
      <c r="E914" s="70"/>
      <c r="F914" s="70"/>
      <c r="G914" s="70"/>
      <c r="H914" s="70"/>
      <c r="I914" s="70"/>
      <c r="J914" s="70"/>
      <c r="K914" s="71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</row>
    <row r="915" spans="1:26" ht="12.75" customHeight="1">
      <c r="A915" s="70"/>
      <c r="B915" s="70"/>
      <c r="C915" s="70"/>
      <c r="D915" s="70"/>
      <c r="E915" s="70"/>
      <c r="F915" s="70"/>
      <c r="G915" s="70"/>
      <c r="H915" s="70"/>
      <c r="I915" s="70"/>
      <c r="J915" s="70"/>
      <c r="K915" s="71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</row>
    <row r="916" spans="1:26" ht="12.75" customHeight="1">
      <c r="A916" s="70"/>
      <c r="B916" s="70"/>
      <c r="C916" s="70"/>
      <c r="D916" s="70"/>
      <c r="E916" s="70"/>
      <c r="F916" s="70"/>
      <c r="G916" s="70"/>
      <c r="H916" s="70"/>
      <c r="I916" s="70"/>
      <c r="J916" s="70"/>
      <c r="K916" s="71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</row>
    <row r="917" spans="1:26" ht="12.75" customHeight="1">
      <c r="A917" s="70"/>
      <c r="B917" s="70"/>
      <c r="C917" s="70"/>
      <c r="D917" s="70"/>
      <c r="E917" s="70"/>
      <c r="F917" s="70"/>
      <c r="G917" s="70"/>
      <c r="H917" s="70"/>
      <c r="I917" s="70"/>
      <c r="J917" s="70"/>
      <c r="K917" s="71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</row>
    <row r="918" spans="1:26" ht="12.75" customHeight="1">
      <c r="A918" s="70"/>
      <c r="B918" s="70"/>
      <c r="C918" s="70"/>
      <c r="D918" s="70"/>
      <c r="E918" s="70"/>
      <c r="F918" s="70"/>
      <c r="G918" s="70"/>
      <c r="H918" s="70"/>
      <c r="I918" s="70"/>
      <c r="J918" s="70"/>
      <c r="K918" s="71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</row>
    <row r="919" spans="1:26" ht="12.75" customHeight="1">
      <c r="A919" s="70"/>
      <c r="B919" s="70"/>
      <c r="C919" s="70"/>
      <c r="D919" s="70"/>
      <c r="E919" s="70"/>
      <c r="F919" s="70"/>
      <c r="G919" s="70"/>
      <c r="H919" s="70"/>
      <c r="I919" s="70"/>
      <c r="J919" s="70"/>
      <c r="K919" s="71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</row>
    <row r="920" spans="1:26" ht="12.75" customHeight="1">
      <c r="A920" s="70"/>
      <c r="B920" s="70"/>
      <c r="C920" s="70"/>
      <c r="D920" s="70"/>
      <c r="E920" s="70"/>
      <c r="F920" s="70"/>
      <c r="G920" s="70"/>
      <c r="H920" s="70"/>
      <c r="I920" s="70"/>
      <c r="J920" s="70"/>
      <c r="K920" s="71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</row>
    <row r="921" spans="1:26" ht="12.75" customHeight="1">
      <c r="A921" s="70"/>
      <c r="B921" s="70"/>
      <c r="C921" s="70"/>
      <c r="D921" s="70"/>
      <c r="E921" s="70"/>
      <c r="F921" s="70"/>
      <c r="G921" s="70"/>
      <c r="H921" s="70"/>
      <c r="I921" s="70"/>
      <c r="J921" s="70"/>
      <c r="K921" s="71"/>
      <c r="L921" s="70"/>
      <c r="M921" s="70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</row>
    <row r="922" spans="1:26" ht="12.75" customHeight="1">
      <c r="A922" s="70"/>
      <c r="B922" s="70"/>
      <c r="C922" s="70"/>
      <c r="D922" s="70"/>
      <c r="E922" s="70"/>
      <c r="F922" s="70"/>
      <c r="G922" s="70"/>
      <c r="H922" s="70"/>
      <c r="I922" s="70"/>
      <c r="J922" s="70"/>
      <c r="K922" s="71"/>
      <c r="L922" s="70"/>
      <c r="M922" s="70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</row>
    <row r="923" spans="1:26" ht="12.75" customHeight="1">
      <c r="A923" s="70"/>
      <c r="B923" s="70"/>
      <c r="C923" s="70"/>
      <c r="D923" s="70"/>
      <c r="E923" s="70"/>
      <c r="F923" s="70"/>
      <c r="G923" s="70"/>
      <c r="H923" s="70"/>
      <c r="I923" s="70"/>
      <c r="J923" s="70"/>
      <c r="K923" s="71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</row>
    <row r="924" spans="1:26" ht="12.75" customHeight="1">
      <c r="A924" s="70"/>
      <c r="B924" s="70"/>
      <c r="C924" s="70"/>
      <c r="D924" s="70"/>
      <c r="E924" s="70"/>
      <c r="F924" s="70"/>
      <c r="G924" s="70"/>
      <c r="H924" s="70"/>
      <c r="I924" s="70"/>
      <c r="J924" s="70"/>
      <c r="K924" s="71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</row>
    <row r="925" spans="1:26" ht="12.75" customHeight="1">
      <c r="A925" s="70"/>
      <c r="B925" s="70"/>
      <c r="C925" s="70"/>
      <c r="D925" s="70"/>
      <c r="E925" s="70"/>
      <c r="F925" s="70"/>
      <c r="G925" s="70"/>
      <c r="H925" s="70"/>
      <c r="I925" s="70"/>
      <c r="J925" s="70"/>
      <c r="K925" s="71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</row>
    <row r="926" spans="1:26" ht="12.75" customHeight="1">
      <c r="A926" s="70"/>
      <c r="B926" s="70"/>
      <c r="C926" s="70"/>
      <c r="D926" s="70"/>
      <c r="E926" s="70"/>
      <c r="F926" s="70"/>
      <c r="G926" s="70"/>
      <c r="H926" s="70"/>
      <c r="I926" s="70"/>
      <c r="J926" s="70"/>
      <c r="K926" s="71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</row>
    <row r="927" spans="1:26" ht="12.75" customHeight="1">
      <c r="A927" s="70"/>
      <c r="B927" s="70"/>
      <c r="C927" s="70"/>
      <c r="D927" s="70"/>
      <c r="E927" s="70"/>
      <c r="F927" s="70"/>
      <c r="G927" s="70"/>
      <c r="H927" s="70"/>
      <c r="I927" s="70"/>
      <c r="J927" s="70"/>
      <c r="K927" s="71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</row>
    <row r="928" spans="1:26" ht="12.75" customHeight="1">
      <c r="A928" s="70"/>
      <c r="B928" s="70"/>
      <c r="C928" s="70"/>
      <c r="D928" s="70"/>
      <c r="E928" s="70"/>
      <c r="F928" s="70"/>
      <c r="G928" s="70"/>
      <c r="H928" s="70"/>
      <c r="I928" s="70"/>
      <c r="J928" s="70"/>
      <c r="K928" s="71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</row>
    <row r="929" spans="1:26" ht="12.75" customHeight="1">
      <c r="A929" s="70"/>
      <c r="B929" s="70"/>
      <c r="C929" s="70"/>
      <c r="D929" s="70"/>
      <c r="E929" s="70"/>
      <c r="F929" s="70"/>
      <c r="G929" s="70"/>
      <c r="H929" s="70"/>
      <c r="I929" s="70"/>
      <c r="J929" s="70"/>
      <c r="K929" s="71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</row>
    <row r="930" spans="1:26" ht="12.75" customHeight="1">
      <c r="A930" s="70"/>
      <c r="B930" s="70"/>
      <c r="C930" s="70"/>
      <c r="D930" s="70"/>
      <c r="E930" s="70"/>
      <c r="F930" s="70"/>
      <c r="G930" s="70"/>
      <c r="H930" s="70"/>
      <c r="I930" s="70"/>
      <c r="J930" s="70"/>
      <c r="K930" s="71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</row>
    <row r="931" spans="1:26" ht="12.75" customHeight="1">
      <c r="A931" s="70"/>
      <c r="B931" s="70"/>
      <c r="C931" s="70"/>
      <c r="D931" s="70"/>
      <c r="E931" s="70"/>
      <c r="F931" s="70"/>
      <c r="G931" s="70"/>
      <c r="H931" s="70"/>
      <c r="I931" s="70"/>
      <c r="J931" s="70"/>
      <c r="K931" s="71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</row>
    <row r="932" spans="1:26" ht="12.75" customHeight="1">
      <c r="A932" s="70"/>
      <c r="B932" s="70"/>
      <c r="C932" s="70"/>
      <c r="D932" s="70"/>
      <c r="E932" s="70"/>
      <c r="F932" s="70"/>
      <c r="G932" s="70"/>
      <c r="H932" s="70"/>
      <c r="I932" s="70"/>
      <c r="J932" s="70"/>
      <c r="K932" s="71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</row>
    <row r="933" spans="1:26" ht="12.75" customHeight="1">
      <c r="A933" s="70"/>
      <c r="B933" s="70"/>
      <c r="C933" s="70"/>
      <c r="D933" s="70"/>
      <c r="E933" s="70"/>
      <c r="F933" s="70"/>
      <c r="G933" s="70"/>
      <c r="H933" s="70"/>
      <c r="I933" s="70"/>
      <c r="J933" s="70"/>
      <c r="K933" s="71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</row>
    <row r="934" spans="1:26" ht="12.75" customHeight="1">
      <c r="A934" s="70"/>
      <c r="B934" s="70"/>
      <c r="C934" s="70"/>
      <c r="D934" s="70"/>
      <c r="E934" s="70"/>
      <c r="F934" s="70"/>
      <c r="G934" s="70"/>
      <c r="H934" s="70"/>
      <c r="I934" s="70"/>
      <c r="J934" s="70"/>
      <c r="K934" s="71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</row>
    <row r="935" spans="1:26" ht="12.75" customHeight="1">
      <c r="A935" s="70"/>
      <c r="B935" s="70"/>
      <c r="C935" s="70"/>
      <c r="D935" s="70"/>
      <c r="E935" s="70"/>
      <c r="F935" s="70"/>
      <c r="G935" s="70"/>
      <c r="H935" s="70"/>
      <c r="I935" s="70"/>
      <c r="J935" s="70"/>
      <c r="K935" s="71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</row>
    <row r="936" spans="1:26" ht="12.75" customHeight="1">
      <c r="A936" s="70"/>
      <c r="B936" s="70"/>
      <c r="C936" s="70"/>
      <c r="D936" s="70"/>
      <c r="E936" s="70"/>
      <c r="F936" s="70"/>
      <c r="G936" s="70"/>
      <c r="H936" s="70"/>
      <c r="I936" s="70"/>
      <c r="J936" s="70"/>
      <c r="K936" s="71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</row>
    <row r="937" spans="1:26" ht="12.75" customHeight="1">
      <c r="A937" s="70"/>
      <c r="B937" s="70"/>
      <c r="C937" s="70"/>
      <c r="D937" s="70"/>
      <c r="E937" s="70"/>
      <c r="F937" s="70"/>
      <c r="G937" s="70"/>
      <c r="H937" s="70"/>
      <c r="I937" s="70"/>
      <c r="J937" s="70"/>
      <c r="K937" s="71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</row>
    <row r="938" spans="1:26" ht="12.75" customHeight="1">
      <c r="A938" s="70"/>
      <c r="B938" s="70"/>
      <c r="C938" s="70"/>
      <c r="D938" s="70"/>
      <c r="E938" s="70"/>
      <c r="F938" s="70"/>
      <c r="G938" s="70"/>
      <c r="H938" s="70"/>
      <c r="I938" s="70"/>
      <c r="J938" s="70"/>
      <c r="K938" s="71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</row>
    <row r="939" spans="1:26" ht="12.75" customHeight="1">
      <c r="A939" s="70"/>
      <c r="B939" s="70"/>
      <c r="C939" s="70"/>
      <c r="D939" s="70"/>
      <c r="E939" s="70"/>
      <c r="F939" s="70"/>
      <c r="G939" s="70"/>
      <c r="H939" s="70"/>
      <c r="I939" s="70"/>
      <c r="J939" s="70"/>
      <c r="K939" s="71"/>
      <c r="L939" s="70"/>
      <c r="M939" s="70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</row>
    <row r="940" spans="1:26" ht="12.75" customHeight="1">
      <c r="A940" s="70"/>
      <c r="B940" s="70"/>
      <c r="C940" s="70"/>
      <c r="D940" s="70"/>
      <c r="E940" s="70"/>
      <c r="F940" s="70"/>
      <c r="G940" s="70"/>
      <c r="H940" s="70"/>
      <c r="I940" s="70"/>
      <c r="J940" s="70"/>
      <c r="K940" s="71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</row>
    <row r="941" spans="1:26" ht="12.75" customHeight="1">
      <c r="A941" s="70"/>
      <c r="B941" s="70"/>
      <c r="C941" s="70"/>
      <c r="D941" s="70"/>
      <c r="E941" s="70"/>
      <c r="F941" s="70"/>
      <c r="G941" s="70"/>
      <c r="H941" s="70"/>
      <c r="I941" s="70"/>
      <c r="J941" s="70"/>
      <c r="K941" s="71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</row>
    <row r="942" spans="1:26" ht="12.75" customHeight="1">
      <c r="A942" s="70"/>
      <c r="B942" s="70"/>
      <c r="C942" s="70"/>
      <c r="D942" s="70"/>
      <c r="E942" s="70"/>
      <c r="F942" s="70"/>
      <c r="G942" s="70"/>
      <c r="H942" s="70"/>
      <c r="I942" s="70"/>
      <c r="J942" s="70"/>
      <c r="K942" s="71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</row>
    <row r="943" spans="1:26" ht="12.75" customHeight="1">
      <c r="A943" s="70"/>
      <c r="B943" s="70"/>
      <c r="C943" s="70"/>
      <c r="D943" s="70"/>
      <c r="E943" s="70"/>
      <c r="F943" s="70"/>
      <c r="G943" s="70"/>
      <c r="H943" s="70"/>
      <c r="I943" s="70"/>
      <c r="J943" s="70"/>
      <c r="K943" s="71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</row>
    <row r="944" spans="1:26" ht="12.75" customHeight="1">
      <c r="A944" s="70"/>
      <c r="B944" s="70"/>
      <c r="C944" s="70"/>
      <c r="D944" s="70"/>
      <c r="E944" s="70"/>
      <c r="F944" s="70"/>
      <c r="G944" s="70"/>
      <c r="H944" s="70"/>
      <c r="I944" s="70"/>
      <c r="J944" s="70"/>
      <c r="K944" s="71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</row>
    <row r="945" spans="1:26" ht="12.75" customHeight="1">
      <c r="A945" s="70"/>
      <c r="B945" s="70"/>
      <c r="C945" s="70"/>
      <c r="D945" s="70"/>
      <c r="E945" s="70"/>
      <c r="F945" s="70"/>
      <c r="G945" s="70"/>
      <c r="H945" s="70"/>
      <c r="I945" s="70"/>
      <c r="J945" s="70"/>
      <c r="K945" s="71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</row>
    <row r="946" spans="1:26" ht="12.75" customHeight="1">
      <c r="A946" s="70"/>
      <c r="B946" s="70"/>
      <c r="C946" s="70"/>
      <c r="D946" s="70"/>
      <c r="E946" s="70"/>
      <c r="F946" s="70"/>
      <c r="G946" s="70"/>
      <c r="H946" s="70"/>
      <c r="I946" s="70"/>
      <c r="J946" s="70"/>
      <c r="K946" s="71"/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</row>
    <row r="947" spans="1:26" ht="12.75" customHeight="1">
      <c r="A947" s="70"/>
      <c r="B947" s="70"/>
      <c r="C947" s="70"/>
      <c r="D947" s="70"/>
      <c r="E947" s="70"/>
      <c r="F947" s="70"/>
      <c r="G947" s="70"/>
      <c r="H947" s="70"/>
      <c r="I947" s="70"/>
      <c r="J947" s="70"/>
      <c r="K947" s="71"/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</row>
    <row r="948" spans="1:26" ht="12.75" customHeight="1">
      <c r="A948" s="70"/>
      <c r="B948" s="70"/>
      <c r="C948" s="70"/>
      <c r="D948" s="70"/>
      <c r="E948" s="70"/>
      <c r="F948" s="70"/>
      <c r="G948" s="70"/>
      <c r="H948" s="70"/>
      <c r="I948" s="70"/>
      <c r="J948" s="70"/>
      <c r="K948" s="71"/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</row>
    <row r="949" spans="1:26" ht="12.75" customHeight="1">
      <c r="A949" s="70"/>
      <c r="B949" s="70"/>
      <c r="C949" s="70"/>
      <c r="D949" s="70"/>
      <c r="E949" s="70"/>
      <c r="F949" s="70"/>
      <c r="G949" s="70"/>
      <c r="H949" s="70"/>
      <c r="I949" s="70"/>
      <c r="J949" s="70"/>
      <c r="K949" s="71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</row>
    <row r="950" spans="1:26" ht="12.75" customHeight="1">
      <c r="A950" s="70"/>
      <c r="B950" s="70"/>
      <c r="C950" s="70"/>
      <c r="D950" s="70"/>
      <c r="E950" s="70"/>
      <c r="F950" s="70"/>
      <c r="G950" s="70"/>
      <c r="H950" s="70"/>
      <c r="I950" s="70"/>
      <c r="J950" s="70"/>
      <c r="K950" s="71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</row>
    <row r="951" spans="1:26" ht="12.75" customHeight="1">
      <c r="A951" s="70"/>
      <c r="B951" s="70"/>
      <c r="C951" s="70"/>
      <c r="D951" s="70"/>
      <c r="E951" s="70"/>
      <c r="F951" s="70"/>
      <c r="G951" s="70"/>
      <c r="H951" s="70"/>
      <c r="I951" s="70"/>
      <c r="J951" s="70"/>
      <c r="K951" s="71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</row>
    <row r="952" spans="1:26" ht="12.75" customHeight="1">
      <c r="A952" s="70"/>
      <c r="B952" s="70"/>
      <c r="C952" s="70"/>
      <c r="D952" s="70"/>
      <c r="E952" s="70"/>
      <c r="F952" s="70"/>
      <c r="G952" s="70"/>
      <c r="H952" s="70"/>
      <c r="I952" s="70"/>
      <c r="J952" s="70"/>
      <c r="K952" s="71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</row>
    <row r="953" spans="1:26" ht="12.75" customHeight="1">
      <c r="A953" s="70"/>
      <c r="B953" s="70"/>
      <c r="C953" s="70"/>
      <c r="D953" s="70"/>
      <c r="E953" s="70"/>
      <c r="F953" s="70"/>
      <c r="G953" s="70"/>
      <c r="H953" s="70"/>
      <c r="I953" s="70"/>
      <c r="J953" s="70"/>
      <c r="K953" s="71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</row>
    <row r="954" spans="1:26" ht="12.75" customHeight="1">
      <c r="A954" s="70"/>
      <c r="B954" s="70"/>
      <c r="C954" s="70"/>
      <c r="D954" s="70"/>
      <c r="E954" s="70"/>
      <c r="F954" s="70"/>
      <c r="G954" s="70"/>
      <c r="H954" s="70"/>
      <c r="I954" s="70"/>
      <c r="J954" s="70"/>
      <c r="K954" s="71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</row>
    <row r="955" spans="1:26" ht="12.75" customHeight="1">
      <c r="A955" s="70"/>
      <c r="B955" s="70"/>
      <c r="C955" s="70"/>
      <c r="D955" s="70"/>
      <c r="E955" s="70"/>
      <c r="F955" s="70"/>
      <c r="G955" s="70"/>
      <c r="H955" s="70"/>
      <c r="I955" s="70"/>
      <c r="J955" s="70"/>
      <c r="K955" s="71"/>
      <c r="L955" s="70"/>
      <c r="M955" s="70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</row>
    <row r="956" spans="1:26" ht="12.75" customHeight="1">
      <c r="A956" s="70"/>
      <c r="B956" s="70"/>
      <c r="C956" s="70"/>
      <c r="D956" s="70"/>
      <c r="E956" s="70"/>
      <c r="F956" s="70"/>
      <c r="G956" s="70"/>
      <c r="H956" s="70"/>
      <c r="I956" s="70"/>
      <c r="J956" s="70"/>
      <c r="K956" s="71"/>
      <c r="L956" s="70"/>
      <c r="M956" s="70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</row>
    <row r="957" spans="1:26" ht="12.75" customHeight="1">
      <c r="A957" s="70"/>
      <c r="B957" s="70"/>
      <c r="C957" s="70"/>
      <c r="D957" s="70"/>
      <c r="E957" s="70"/>
      <c r="F957" s="70"/>
      <c r="G957" s="70"/>
      <c r="H957" s="70"/>
      <c r="I957" s="70"/>
      <c r="J957" s="70"/>
      <c r="K957" s="71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</row>
    <row r="958" spans="1:26" ht="12.75" customHeight="1">
      <c r="A958" s="70"/>
      <c r="B958" s="70"/>
      <c r="C958" s="70"/>
      <c r="D958" s="70"/>
      <c r="E958" s="70"/>
      <c r="F958" s="70"/>
      <c r="G958" s="70"/>
      <c r="H958" s="70"/>
      <c r="I958" s="70"/>
      <c r="J958" s="70"/>
      <c r="K958" s="71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</row>
    <row r="959" spans="1:26" ht="12.75" customHeight="1">
      <c r="A959" s="70"/>
      <c r="B959" s="70"/>
      <c r="C959" s="70"/>
      <c r="D959" s="70"/>
      <c r="E959" s="70"/>
      <c r="F959" s="70"/>
      <c r="G959" s="70"/>
      <c r="H959" s="70"/>
      <c r="I959" s="70"/>
      <c r="J959" s="70"/>
      <c r="K959" s="71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</row>
    <row r="960" spans="1:26" ht="12.75" customHeight="1">
      <c r="A960" s="70"/>
      <c r="B960" s="70"/>
      <c r="C960" s="70"/>
      <c r="D960" s="70"/>
      <c r="E960" s="70"/>
      <c r="F960" s="70"/>
      <c r="G960" s="70"/>
      <c r="H960" s="70"/>
      <c r="I960" s="70"/>
      <c r="J960" s="70"/>
      <c r="K960" s="71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</row>
    <row r="961" spans="1:26" ht="12.75" customHeight="1">
      <c r="A961" s="70"/>
      <c r="B961" s="70"/>
      <c r="C961" s="70"/>
      <c r="D961" s="70"/>
      <c r="E961" s="70"/>
      <c r="F961" s="70"/>
      <c r="G961" s="70"/>
      <c r="H961" s="70"/>
      <c r="I961" s="70"/>
      <c r="J961" s="70"/>
      <c r="K961" s="71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</row>
    <row r="962" spans="1:26" ht="12.75" customHeight="1">
      <c r="A962" s="70"/>
      <c r="B962" s="70"/>
      <c r="C962" s="70"/>
      <c r="D962" s="70"/>
      <c r="E962" s="70"/>
      <c r="F962" s="70"/>
      <c r="G962" s="70"/>
      <c r="H962" s="70"/>
      <c r="I962" s="70"/>
      <c r="J962" s="70"/>
      <c r="K962" s="71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</row>
    <row r="963" spans="1:26" ht="12.75" customHeight="1">
      <c r="A963" s="70"/>
      <c r="B963" s="70"/>
      <c r="C963" s="70"/>
      <c r="D963" s="70"/>
      <c r="E963" s="70"/>
      <c r="F963" s="70"/>
      <c r="G963" s="70"/>
      <c r="H963" s="70"/>
      <c r="I963" s="70"/>
      <c r="J963" s="70"/>
      <c r="K963" s="71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</row>
    <row r="964" spans="1:26" ht="12.75" customHeight="1">
      <c r="A964" s="70"/>
      <c r="B964" s="70"/>
      <c r="C964" s="70"/>
      <c r="D964" s="70"/>
      <c r="E964" s="70"/>
      <c r="F964" s="70"/>
      <c r="G964" s="70"/>
      <c r="H964" s="70"/>
      <c r="I964" s="70"/>
      <c r="J964" s="70"/>
      <c r="K964" s="71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</row>
    <row r="965" spans="1:26" ht="12.75" customHeight="1">
      <c r="A965" s="70"/>
      <c r="B965" s="70"/>
      <c r="C965" s="70"/>
      <c r="D965" s="70"/>
      <c r="E965" s="70"/>
      <c r="F965" s="70"/>
      <c r="G965" s="70"/>
      <c r="H965" s="70"/>
      <c r="I965" s="70"/>
      <c r="J965" s="70"/>
      <c r="K965" s="71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</row>
    <row r="966" spans="1:26" ht="12.75" customHeight="1">
      <c r="A966" s="70"/>
      <c r="B966" s="70"/>
      <c r="C966" s="70"/>
      <c r="D966" s="70"/>
      <c r="E966" s="70"/>
      <c r="F966" s="70"/>
      <c r="G966" s="70"/>
      <c r="H966" s="70"/>
      <c r="I966" s="70"/>
      <c r="J966" s="70"/>
      <c r="K966" s="71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</row>
    <row r="967" spans="1:26" ht="12.75" customHeight="1">
      <c r="A967" s="70"/>
      <c r="B967" s="70"/>
      <c r="C967" s="70"/>
      <c r="D967" s="70"/>
      <c r="E967" s="70"/>
      <c r="F967" s="70"/>
      <c r="G967" s="70"/>
      <c r="H967" s="70"/>
      <c r="I967" s="70"/>
      <c r="J967" s="70"/>
      <c r="K967" s="71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</row>
    <row r="968" spans="1:26" ht="12.75" customHeight="1">
      <c r="A968" s="70"/>
      <c r="B968" s="70"/>
      <c r="C968" s="70"/>
      <c r="D968" s="70"/>
      <c r="E968" s="70"/>
      <c r="F968" s="70"/>
      <c r="G968" s="70"/>
      <c r="H968" s="70"/>
      <c r="I968" s="70"/>
      <c r="J968" s="70"/>
      <c r="K968" s="71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</row>
    <row r="969" spans="1:26" ht="12.75" customHeight="1">
      <c r="A969" s="70"/>
      <c r="B969" s="70"/>
      <c r="C969" s="70"/>
      <c r="D969" s="70"/>
      <c r="E969" s="70"/>
      <c r="F969" s="70"/>
      <c r="G969" s="70"/>
      <c r="H969" s="70"/>
      <c r="I969" s="70"/>
      <c r="J969" s="70"/>
      <c r="K969" s="71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</row>
    <row r="970" spans="1:26" ht="12.75" customHeight="1">
      <c r="A970" s="70"/>
      <c r="B970" s="70"/>
      <c r="C970" s="70"/>
      <c r="D970" s="70"/>
      <c r="E970" s="70"/>
      <c r="F970" s="70"/>
      <c r="G970" s="70"/>
      <c r="H970" s="70"/>
      <c r="I970" s="70"/>
      <c r="J970" s="70"/>
      <c r="K970" s="71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</row>
    <row r="971" spans="1:26" ht="12.75" customHeight="1">
      <c r="A971" s="70"/>
      <c r="B971" s="70"/>
      <c r="C971" s="70"/>
      <c r="D971" s="70"/>
      <c r="E971" s="70"/>
      <c r="F971" s="70"/>
      <c r="G971" s="70"/>
      <c r="H971" s="70"/>
      <c r="I971" s="70"/>
      <c r="J971" s="70"/>
      <c r="K971" s="71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</row>
    <row r="972" spans="1:26" ht="12.75" customHeight="1">
      <c r="A972" s="70"/>
      <c r="B972" s="70"/>
      <c r="C972" s="70"/>
      <c r="D972" s="70"/>
      <c r="E972" s="70"/>
      <c r="F972" s="70"/>
      <c r="G972" s="70"/>
      <c r="H972" s="70"/>
      <c r="I972" s="70"/>
      <c r="J972" s="70"/>
      <c r="K972" s="71"/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</row>
    <row r="973" spans="1:26" ht="12.75" customHeight="1">
      <c r="A973" s="70"/>
      <c r="B973" s="70"/>
      <c r="C973" s="70"/>
      <c r="D973" s="70"/>
      <c r="E973" s="70"/>
      <c r="F973" s="70"/>
      <c r="G973" s="70"/>
      <c r="H973" s="70"/>
      <c r="I973" s="70"/>
      <c r="J973" s="70"/>
      <c r="K973" s="71"/>
      <c r="L973" s="70"/>
      <c r="M973" s="70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</row>
    <row r="974" spans="1:26" ht="12.75" customHeight="1">
      <c r="A974" s="70"/>
      <c r="B974" s="70"/>
      <c r="C974" s="70"/>
      <c r="D974" s="70"/>
      <c r="E974" s="70"/>
      <c r="F974" s="70"/>
      <c r="G974" s="70"/>
      <c r="H974" s="70"/>
      <c r="I974" s="70"/>
      <c r="J974" s="70"/>
      <c r="K974" s="71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</row>
    <row r="975" spans="1:26" ht="12.75" customHeight="1">
      <c r="A975" s="70"/>
      <c r="B975" s="70"/>
      <c r="C975" s="70"/>
      <c r="D975" s="70"/>
      <c r="E975" s="70"/>
      <c r="F975" s="70"/>
      <c r="G975" s="70"/>
      <c r="H975" s="70"/>
      <c r="I975" s="70"/>
      <c r="J975" s="70"/>
      <c r="K975" s="71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</row>
    <row r="976" spans="1:26" ht="12.75" customHeight="1">
      <c r="A976" s="70"/>
      <c r="B976" s="70"/>
      <c r="C976" s="70"/>
      <c r="D976" s="70"/>
      <c r="E976" s="70"/>
      <c r="F976" s="70"/>
      <c r="G976" s="70"/>
      <c r="H976" s="70"/>
      <c r="I976" s="70"/>
      <c r="J976" s="70"/>
      <c r="K976" s="71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</row>
    <row r="977" spans="1:26" ht="12.75" customHeight="1">
      <c r="A977" s="70"/>
      <c r="B977" s="70"/>
      <c r="C977" s="70"/>
      <c r="D977" s="70"/>
      <c r="E977" s="70"/>
      <c r="F977" s="70"/>
      <c r="G977" s="70"/>
      <c r="H977" s="70"/>
      <c r="I977" s="70"/>
      <c r="J977" s="70"/>
      <c r="K977" s="71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</row>
    <row r="978" spans="1:26" ht="12.75" customHeight="1">
      <c r="A978" s="70"/>
      <c r="B978" s="70"/>
      <c r="C978" s="70"/>
      <c r="D978" s="70"/>
      <c r="E978" s="70"/>
      <c r="F978" s="70"/>
      <c r="G978" s="70"/>
      <c r="H978" s="70"/>
      <c r="I978" s="70"/>
      <c r="J978" s="70"/>
      <c r="K978" s="71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</row>
    <row r="979" spans="1:26" ht="12.75" customHeight="1">
      <c r="A979" s="70"/>
      <c r="B979" s="70"/>
      <c r="C979" s="70"/>
      <c r="D979" s="70"/>
      <c r="E979" s="70"/>
      <c r="F979" s="70"/>
      <c r="G979" s="70"/>
      <c r="H979" s="70"/>
      <c r="I979" s="70"/>
      <c r="J979" s="70"/>
      <c r="K979" s="71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</row>
    <row r="980" spans="1:26" ht="12.75" customHeight="1">
      <c r="A980" s="70"/>
      <c r="B980" s="70"/>
      <c r="C980" s="70"/>
      <c r="D980" s="70"/>
      <c r="E980" s="70"/>
      <c r="F980" s="70"/>
      <c r="G980" s="70"/>
      <c r="H980" s="70"/>
      <c r="I980" s="70"/>
      <c r="J980" s="70"/>
      <c r="K980" s="71"/>
      <c r="L980" s="70"/>
      <c r="M980" s="70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</row>
    <row r="981" spans="1:26" ht="12.75" customHeight="1">
      <c r="A981" s="70"/>
      <c r="B981" s="70"/>
      <c r="C981" s="70"/>
      <c r="D981" s="70"/>
      <c r="E981" s="70"/>
      <c r="F981" s="70"/>
      <c r="G981" s="70"/>
      <c r="H981" s="70"/>
      <c r="I981" s="70"/>
      <c r="J981" s="70"/>
      <c r="K981" s="71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</row>
    <row r="982" spans="1:26" ht="12.75" customHeight="1">
      <c r="A982" s="70"/>
      <c r="B982" s="70"/>
      <c r="C982" s="70"/>
      <c r="D982" s="70"/>
      <c r="E982" s="70"/>
      <c r="F982" s="70"/>
      <c r="G982" s="70"/>
      <c r="H982" s="70"/>
      <c r="I982" s="70"/>
      <c r="J982" s="70"/>
      <c r="K982" s="71"/>
      <c r="L982" s="70"/>
      <c r="M982" s="70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</row>
    <row r="983" spans="1:26" ht="12.75" customHeight="1">
      <c r="A983" s="70"/>
      <c r="B983" s="70"/>
      <c r="C983" s="70"/>
      <c r="D983" s="70"/>
      <c r="E983" s="70"/>
      <c r="F983" s="70"/>
      <c r="G983" s="70"/>
      <c r="H983" s="70"/>
      <c r="I983" s="70"/>
      <c r="J983" s="70"/>
      <c r="K983" s="71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</row>
    <row r="984" spans="1:26" ht="12.75" customHeight="1">
      <c r="A984" s="70"/>
      <c r="B984" s="70"/>
      <c r="C984" s="70"/>
      <c r="D984" s="70"/>
      <c r="E984" s="70"/>
      <c r="F984" s="70"/>
      <c r="G984" s="70"/>
      <c r="H984" s="70"/>
      <c r="I984" s="70"/>
      <c r="J984" s="70"/>
      <c r="K984" s="71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</row>
    <row r="985" spans="1:26" ht="12.75" customHeight="1">
      <c r="A985" s="70"/>
      <c r="B985" s="70"/>
      <c r="C985" s="70"/>
      <c r="D985" s="70"/>
      <c r="E985" s="70"/>
      <c r="F985" s="70"/>
      <c r="G985" s="70"/>
      <c r="H985" s="70"/>
      <c r="I985" s="70"/>
      <c r="J985" s="70"/>
      <c r="K985" s="71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</row>
    <row r="986" spans="1:26" ht="12.75" customHeight="1">
      <c r="A986" s="70"/>
      <c r="B986" s="70"/>
      <c r="C986" s="70"/>
      <c r="D986" s="70"/>
      <c r="E986" s="70"/>
      <c r="F986" s="70"/>
      <c r="G986" s="70"/>
      <c r="H986" s="70"/>
      <c r="I986" s="70"/>
      <c r="J986" s="70"/>
      <c r="K986" s="71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</row>
    <row r="987" spans="1:26" ht="12.75" customHeight="1">
      <c r="A987" s="70"/>
      <c r="B987" s="70"/>
      <c r="C987" s="70"/>
      <c r="D987" s="70"/>
      <c r="E987" s="70"/>
      <c r="F987" s="70"/>
      <c r="G987" s="70"/>
      <c r="H987" s="70"/>
      <c r="I987" s="70"/>
      <c r="J987" s="70"/>
      <c r="K987" s="71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</row>
    <row r="988" spans="1:26" ht="12.75" customHeight="1">
      <c r="A988" s="70"/>
      <c r="B988" s="70"/>
      <c r="C988" s="70"/>
      <c r="D988" s="70"/>
      <c r="E988" s="70"/>
      <c r="F988" s="70"/>
      <c r="G988" s="70"/>
      <c r="H988" s="70"/>
      <c r="I988" s="70"/>
      <c r="J988" s="70"/>
      <c r="K988" s="71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</row>
    <row r="989" spans="1:26" ht="12.75" customHeight="1">
      <c r="A989" s="70"/>
      <c r="B989" s="70"/>
      <c r="C989" s="70"/>
      <c r="D989" s="70"/>
      <c r="E989" s="70"/>
      <c r="F989" s="70"/>
      <c r="G989" s="70"/>
      <c r="H989" s="70"/>
      <c r="I989" s="70"/>
      <c r="J989" s="70"/>
      <c r="K989" s="71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</row>
    <row r="990" spans="1:26" ht="12.75" customHeight="1">
      <c r="A990" s="70"/>
      <c r="B990" s="70"/>
      <c r="C990" s="70"/>
      <c r="D990" s="70"/>
      <c r="E990" s="70"/>
      <c r="F990" s="70"/>
      <c r="G990" s="70"/>
      <c r="H990" s="70"/>
      <c r="I990" s="70"/>
      <c r="J990" s="70"/>
      <c r="K990" s="71"/>
      <c r="L990" s="70"/>
      <c r="M990" s="70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</row>
    <row r="991" spans="1:26" ht="12.75" customHeight="1">
      <c r="A991" s="70"/>
      <c r="B991" s="70"/>
      <c r="C991" s="70"/>
      <c r="D991" s="70"/>
      <c r="E991" s="70"/>
      <c r="F991" s="70"/>
      <c r="G991" s="70"/>
      <c r="H991" s="70"/>
      <c r="I991" s="70"/>
      <c r="J991" s="70"/>
      <c r="K991" s="71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</row>
    <row r="992" spans="1:26" ht="12.75" customHeight="1">
      <c r="A992" s="70"/>
      <c r="B992" s="70"/>
      <c r="C992" s="70"/>
      <c r="D992" s="70"/>
      <c r="E992" s="70"/>
      <c r="F992" s="70"/>
      <c r="G992" s="70"/>
      <c r="H992" s="70"/>
      <c r="I992" s="70"/>
      <c r="J992" s="70"/>
      <c r="K992" s="71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</row>
    <row r="993" spans="1:26" ht="12.75" customHeight="1">
      <c r="A993" s="70"/>
      <c r="B993" s="70"/>
      <c r="C993" s="70"/>
      <c r="D993" s="70"/>
      <c r="E993" s="70"/>
      <c r="F993" s="70"/>
      <c r="G993" s="70"/>
      <c r="H993" s="70"/>
      <c r="I993" s="70"/>
      <c r="J993" s="70"/>
      <c r="K993" s="71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</row>
    <row r="994" spans="1:26" ht="12.75" customHeight="1">
      <c r="A994" s="70"/>
      <c r="B994" s="70"/>
      <c r="C994" s="70"/>
      <c r="D994" s="70"/>
      <c r="E994" s="70"/>
      <c r="F994" s="70"/>
      <c r="G994" s="70"/>
      <c r="H994" s="70"/>
      <c r="I994" s="70"/>
      <c r="J994" s="70"/>
      <c r="K994" s="71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</row>
    <row r="995" spans="1:26" ht="12.75" customHeight="1">
      <c r="A995" s="70"/>
      <c r="B995" s="70"/>
      <c r="C995" s="70"/>
      <c r="D995" s="70"/>
      <c r="E995" s="70"/>
      <c r="F995" s="70"/>
      <c r="G995" s="70"/>
      <c r="H995" s="70"/>
      <c r="I995" s="70"/>
      <c r="J995" s="70"/>
      <c r="K995" s="71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</row>
    <row r="996" spans="1:26" ht="12.75" customHeight="1">
      <c r="A996" s="70"/>
      <c r="B996" s="70"/>
      <c r="C996" s="70"/>
      <c r="D996" s="70"/>
      <c r="E996" s="70"/>
      <c r="F996" s="70"/>
      <c r="G996" s="70"/>
      <c r="H996" s="70"/>
      <c r="I996" s="70"/>
      <c r="J996" s="70"/>
      <c r="K996" s="71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</row>
    <row r="997" spans="1:26" ht="12.75" customHeight="1">
      <c r="A997" s="70"/>
      <c r="B997" s="70"/>
      <c r="C997" s="70"/>
      <c r="D997" s="70"/>
      <c r="E997" s="70"/>
      <c r="F997" s="70"/>
      <c r="G997" s="70"/>
      <c r="H997" s="70"/>
      <c r="I997" s="70"/>
      <c r="J997" s="70"/>
      <c r="K997" s="71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</row>
    <row r="998" spans="1:26" ht="12.75" customHeight="1">
      <c r="A998" s="70"/>
      <c r="B998" s="70"/>
      <c r="C998" s="70"/>
      <c r="D998" s="70"/>
      <c r="E998" s="70"/>
      <c r="F998" s="70"/>
      <c r="G998" s="70"/>
      <c r="H998" s="70"/>
      <c r="I998" s="70"/>
      <c r="J998" s="70"/>
      <c r="K998" s="71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</row>
    <row r="999" spans="1:26" ht="12.75" customHeight="1">
      <c r="A999" s="70"/>
      <c r="B999" s="70"/>
      <c r="C999" s="70"/>
      <c r="D999" s="70"/>
      <c r="E999" s="70"/>
      <c r="F999" s="70"/>
      <c r="G999" s="70"/>
      <c r="H999" s="70"/>
      <c r="I999" s="70"/>
      <c r="J999" s="70"/>
      <c r="K999" s="71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</row>
    <row r="1000" spans="1:26" ht="12.75" customHeight="1">
      <c r="A1000" s="70"/>
      <c r="B1000" s="70"/>
      <c r="C1000" s="70"/>
      <c r="D1000" s="70"/>
      <c r="E1000" s="70"/>
      <c r="F1000" s="70"/>
      <c r="G1000" s="70"/>
      <c r="H1000" s="70"/>
      <c r="I1000" s="70"/>
      <c r="J1000" s="70"/>
      <c r="K1000" s="71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</row>
    <row r="1001" spans="1:26" ht="12.75" customHeight="1">
      <c r="A1001" s="70"/>
      <c r="B1001" s="70"/>
      <c r="C1001" s="70"/>
      <c r="D1001" s="70"/>
      <c r="E1001" s="70"/>
      <c r="F1001" s="70"/>
      <c r="G1001" s="70"/>
      <c r="H1001" s="70"/>
      <c r="I1001" s="70"/>
      <c r="J1001" s="70"/>
      <c r="K1001" s="71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</row>
    <row r="1002" spans="1:26" ht="12.75" customHeight="1">
      <c r="A1002" s="70"/>
      <c r="B1002" s="70"/>
      <c r="C1002" s="70"/>
      <c r="D1002" s="70"/>
      <c r="E1002" s="70"/>
      <c r="F1002" s="70"/>
      <c r="G1002" s="70"/>
      <c r="H1002" s="70"/>
      <c r="I1002" s="70"/>
      <c r="J1002" s="70"/>
      <c r="K1002" s="71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</row>
    <row r="1003" spans="1:26" ht="12.75" customHeight="1">
      <c r="A1003" s="70"/>
      <c r="B1003" s="70"/>
      <c r="C1003" s="70"/>
      <c r="D1003" s="70"/>
      <c r="E1003" s="70"/>
      <c r="F1003" s="70"/>
      <c r="G1003" s="70"/>
      <c r="H1003" s="70"/>
      <c r="I1003" s="70"/>
      <c r="J1003" s="70"/>
      <c r="K1003" s="71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</row>
    <row r="1004" spans="1:26" ht="12.75" customHeight="1">
      <c r="A1004" s="70"/>
      <c r="B1004" s="70"/>
      <c r="C1004" s="70"/>
      <c r="D1004" s="70"/>
      <c r="E1004" s="70"/>
      <c r="F1004" s="70"/>
      <c r="G1004" s="70"/>
      <c r="H1004" s="70"/>
      <c r="I1004" s="70"/>
      <c r="J1004" s="70"/>
      <c r="K1004" s="71"/>
      <c r="L1004" s="70"/>
      <c r="M1004" s="70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</row>
    <row r="1005" spans="1:26" ht="12.75" customHeight="1">
      <c r="A1005" s="70"/>
      <c r="B1005" s="70"/>
      <c r="C1005" s="70"/>
      <c r="D1005" s="70"/>
      <c r="E1005" s="70"/>
      <c r="F1005" s="70"/>
      <c r="G1005" s="70"/>
      <c r="H1005" s="70"/>
      <c r="I1005" s="70"/>
      <c r="J1005" s="70"/>
      <c r="K1005" s="71"/>
      <c r="L1005" s="70"/>
      <c r="M1005" s="70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</row>
    <row r="1006" spans="1:26" ht="12.75" customHeight="1">
      <c r="A1006" s="70"/>
      <c r="B1006" s="70"/>
      <c r="C1006" s="70"/>
      <c r="D1006" s="70"/>
      <c r="E1006" s="70"/>
      <c r="F1006" s="70"/>
      <c r="G1006" s="70"/>
      <c r="H1006" s="70"/>
      <c r="I1006" s="70"/>
      <c r="J1006" s="70"/>
      <c r="K1006" s="71"/>
      <c r="L1006" s="70"/>
      <c r="M1006" s="70"/>
      <c r="N1006" s="70"/>
      <c r="O1006" s="70"/>
      <c r="P1006" s="70"/>
      <c r="Q1006" s="70"/>
      <c r="R1006" s="70"/>
      <c r="S1006" s="70"/>
      <c r="T1006" s="70"/>
      <c r="U1006" s="70"/>
      <c r="V1006" s="70"/>
      <c r="W1006" s="70"/>
      <c r="X1006" s="70"/>
      <c r="Y1006" s="70"/>
      <c r="Z1006" s="70"/>
    </row>
    <row r="1007" spans="1:26" ht="12.75" customHeight="1">
      <c r="A1007" s="70"/>
      <c r="B1007" s="70"/>
      <c r="C1007" s="70"/>
      <c r="D1007" s="70"/>
      <c r="E1007" s="70"/>
      <c r="F1007" s="70"/>
      <c r="G1007" s="70"/>
      <c r="H1007" s="70"/>
      <c r="I1007" s="70"/>
      <c r="J1007" s="70"/>
      <c r="K1007" s="71"/>
      <c r="L1007" s="70"/>
      <c r="M1007" s="70"/>
      <c r="N1007" s="70"/>
      <c r="O1007" s="70"/>
      <c r="P1007" s="70"/>
      <c r="Q1007" s="70"/>
      <c r="R1007" s="70"/>
      <c r="S1007" s="70"/>
      <c r="T1007" s="70"/>
      <c r="U1007" s="70"/>
      <c r="V1007" s="70"/>
      <c r="W1007" s="70"/>
      <c r="X1007" s="70"/>
      <c r="Y1007" s="70"/>
      <c r="Z1007" s="70"/>
    </row>
  </sheetData>
  <mergeCells count="26">
    <mergeCell ref="A2:H2"/>
    <mergeCell ref="C5:E5"/>
    <mergeCell ref="C7:E7"/>
    <mergeCell ref="F10:I10"/>
    <mergeCell ref="B99:C99"/>
    <mergeCell ref="H99:I99"/>
    <mergeCell ref="B108:D108"/>
    <mergeCell ref="F108:G108"/>
    <mergeCell ref="I108:J108"/>
    <mergeCell ref="B100:C100"/>
    <mergeCell ref="H100:I100"/>
    <mergeCell ref="B101:C101"/>
    <mergeCell ref="H101:I101"/>
    <mergeCell ref="B102:C102"/>
    <mergeCell ref="H102:I102"/>
    <mergeCell ref="B103:C103"/>
    <mergeCell ref="H103:I103"/>
    <mergeCell ref="B107:D107"/>
    <mergeCell ref="F107:G107"/>
    <mergeCell ref="I107:J107"/>
    <mergeCell ref="C109:D109"/>
    <mergeCell ref="I109:J109"/>
    <mergeCell ref="C110:D110"/>
    <mergeCell ref="I110:J110"/>
    <mergeCell ref="C111:D111"/>
    <mergeCell ref="I111:J111"/>
  </mergeCells>
  <conditionalFormatting sqref="K16:K54 M16:M54 C58:G95 J58:N94">
    <cfRule type="expression" dxfId="3" priority="7">
      <formula>AND($J$14=1)</formula>
    </cfRule>
  </conditionalFormatting>
  <conditionalFormatting sqref="G96:G97 J97:K97 C109:D111 G109:G111 J95:N95 D100:D103">
    <cfRule type="expression" dxfId="2" priority="6">
      <formula>AND($J$14=1)</formula>
    </cfRule>
  </conditionalFormatting>
  <conditionalFormatting sqref="K109:K111">
    <cfRule type="expression" dxfId="1" priority="5">
      <formula>AND($J$14=1)</formula>
    </cfRule>
  </conditionalFormatting>
  <conditionalFormatting sqref="J100:J103">
    <cfRule type="expression" dxfId="0" priority="2">
      <formula>AND($J$14=1)</formula>
    </cfRule>
  </conditionalFormatting>
  <dataValidations count="1">
    <dataValidation type="list" allowBlank="1" showErrorMessage="1" sqref="I16:I53" xr:uid="{816A769F-EEF6-4262-9F25-8C099A8E18B4}">
      <formula1>$J$9:$J$10</formula1>
    </dataValidation>
  </dataValidations>
  <pageMargins left="0.31496062992125984" right="0.15748031496062992" top="0.23622047244094491" bottom="0.27559055118110237" header="0" footer="0"/>
  <pageSetup paperSize="9" scale="41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748D-E1A2-4948-983C-6496A676A26B}">
  <sheetPr codeName="Hoja5">
    <pageSetUpPr fitToPage="1"/>
  </sheetPr>
  <dimension ref="A1"/>
  <sheetViews>
    <sheetView view="pageBreakPreview" zoomScale="145" zoomScaleNormal="110" zoomScaleSheetLayoutView="145" workbookViewId="0">
      <selection activeCell="L13" sqref="L13"/>
    </sheetView>
  </sheetViews>
  <sheetFormatPr baseColWidth="10" defaultColWidth="11.42578125" defaultRowHeight="12.75"/>
  <cols>
    <col min="1" max="9" width="11.42578125" style="238"/>
    <col min="10" max="10" width="14" style="238" customWidth="1"/>
    <col min="11" max="16384" width="11.42578125" style="238"/>
  </cols>
  <sheetData/>
  <pageMargins left="0.70866141732283472" right="0.70866141732283472" top="0.74803149606299213" bottom="0.74803149606299213" header="0.31496062992125984" footer="0.31496062992125984"/>
  <pageSetup paperSize="7" orientation="landscape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02E2B-9CB2-400E-8B4D-8620DDFF963F}">
  <sheetPr codeName="Hoja3"/>
  <dimension ref="A1:K21"/>
  <sheetViews>
    <sheetView showGridLines="0" zoomScaleNormal="100" workbookViewId="0">
      <selection activeCell="J5" sqref="J5"/>
    </sheetView>
  </sheetViews>
  <sheetFormatPr baseColWidth="10" defaultColWidth="10.7109375" defaultRowHeight="15"/>
  <cols>
    <col min="1" max="1" width="11.42578125" customWidth="1"/>
    <col min="2" max="2" width="13.7109375" style="234" customWidth="1"/>
    <col min="3" max="3" width="12.7109375" style="234" customWidth="1"/>
    <col min="4" max="4" width="8.42578125" style="236" customWidth="1"/>
    <col min="5" max="5" width="15.7109375" style="235" customWidth="1"/>
    <col min="6" max="6" width="14.7109375" style="235" customWidth="1"/>
    <col min="7" max="7" width="15" style="235" customWidth="1"/>
    <col min="8" max="8" width="9.7109375" style="235" customWidth="1"/>
    <col min="9" max="9" width="15.7109375" style="235" customWidth="1"/>
    <col min="10" max="10" width="12.140625" style="235" customWidth="1"/>
    <col min="11" max="12" width="10.7109375" style="225"/>
    <col min="13" max="13" width="37.42578125" style="225" customWidth="1"/>
    <col min="14" max="16384" width="10.7109375" style="225"/>
  </cols>
  <sheetData>
    <row r="1" spans="1:11" ht="23.25">
      <c r="A1" s="315" t="s">
        <v>72</v>
      </c>
      <c r="B1" s="315"/>
      <c r="C1" s="315"/>
      <c r="D1" s="315"/>
      <c r="E1" s="315"/>
      <c r="F1" s="315"/>
      <c r="G1" s="315"/>
      <c r="H1" s="315"/>
      <c r="I1" s="315"/>
      <c r="J1" s="315"/>
      <c r="K1" s="230"/>
    </row>
    <row r="2" spans="1:11" ht="15.75" customHeight="1">
      <c r="A2" s="224"/>
      <c r="B2" s="224"/>
      <c r="C2" s="224"/>
      <c r="D2" s="224"/>
      <c r="E2" s="224"/>
      <c r="F2" s="224"/>
      <c r="G2" s="224"/>
      <c r="H2" s="224"/>
      <c r="I2" s="224"/>
      <c r="J2" s="224"/>
      <c r="K2" s="230"/>
    </row>
    <row r="3" spans="1:11" ht="14.25" customHeight="1">
      <c r="A3" s="224"/>
      <c r="B3" s="224"/>
      <c r="C3" s="224"/>
      <c r="D3" s="224"/>
      <c r="E3" s="224"/>
      <c r="F3" s="224"/>
      <c r="G3" s="224"/>
      <c r="H3" s="224"/>
      <c r="I3" s="224"/>
      <c r="J3" s="224"/>
      <c r="K3" s="230"/>
    </row>
    <row r="4" spans="1:11">
      <c r="A4" s="229" t="s">
        <v>77</v>
      </c>
      <c r="B4" s="225" t="str">
        <f>NSG!C5</f>
        <v>TRANSPORTES SANTA FE DEL NORTE SAC</v>
      </c>
      <c r="C4" s="225"/>
      <c r="D4" s="225"/>
      <c r="E4" s="225"/>
      <c r="F4" s="225"/>
      <c r="G4" s="225"/>
      <c r="H4" s="225"/>
      <c r="I4" s="229" t="s">
        <v>84</v>
      </c>
      <c r="J4" s="232">
        <f>NSG!D57</f>
        <v>1.2500000000000001E-2</v>
      </c>
    </row>
    <row r="5" spans="1:11">
      <c r="A5" s="229" t="s">
        <v>78</v>
      </c>
      <c r="B5" s="225" t="str">
        <f>IF(B6="","",VLOOKUP(B6,NSG!$B$16:$H$53,7,FALSE))</f>
        <v/>
      </c>
      <c r="C5" s="225"/>
      <c r="D5" s="225"/>
      <c r="E5" s="225"/>
      <c r="F5" s="225"/>
      <c r="G5" s="225"/>
      <c r="H5" s="225"/>
      <c r="I5" s="229" t="s">
        <v>85</v>
      </c>
      <c r="J5" s="232">
        <v>0.03</v>
      </c>
    </row>
    <row r="6" spans="1:11">
      <c r="A6" s="229" t="s">
        <v>79</v>
      </c>
      <c r="B6" s="228"/>
      <c r="C6" s="228"/>
      <c r="D6" s="225"/>
      <c r="E6" s="225"/>
      <c r="F6" s="225"/>
      <c r="G6" s="225"/>
      <c r="H6" s="225"/>
      <c r="I6" s="225"/>
      <c r="J6" s="225"/>
    </row>
    <row r="7" spans="1:11">
      <c r="A7" s="229" t="s">
        <v>80</v>
      </c>
      <c r="B7" s="225" t="str">
        <f>IF(AND(NSG!I16="PEN",NSG!J14&lt;&gt;1)=TRUE,"PEN","USD")</f>
        <v>PEN</v>
      </c>
      <c r="C7" s="225"/>
      <c r="D7" s="225"/>
      <c r="E7" s="225"/>
      <c r="F7" s="225"/>
      <c r="G7" s="225"/>
      <c r="H7" s="225"/>
      <c r="I7" s="225"/>
      <c r="J7" s="225"/>
    </row>
    <row r="8" spans="1:11">
      <c r="A8" s="229"/>
      <c r="B8" s="225"/>
      <c r="C8" s="225"/>
      <c r="D8" s="225"/>
      <c r="E8" s="225"/>
      <c r="F8" s="225"/>
      <c r="G8" s="225"/>
      <c r="H8" s="225"/>
      <c r="I8" s="225"/>
      <c r="J8" s="225"/>
    </row>
    <row r="9" spans="1:11">
      <c r="A9" s="229"/>
      <c r="B9" s="226"/>
      <c r="C9" s="226"/>
      <c r="D9" s="227"/>
      <c r="E9" s="231"/>
      <c r="F9" s="231"/>
      <c r="G9" s="231"/>
      <c r="H9" s="231"/>
      <c r="I9" s="231"/>
      <c r="J9" s="231"/>
    </row>
    <row r="10" spans="1:11" customFormat="1">
      <c r="A10" s="237" t="s">
        <v>81</v>
      </c>
      <c r="B10" s="237" t="s">
        <v>82</v>
      </c>
      <c r="C10" s="237" t="s">
        <v>83</v>
      </c>
      <c r="D10" s="237" t="s">
        <v>74</v>
      </c>
      <c r="E10" s="237" t="s">
        <v>73</v>
      </c>
      <c r="F10" s="237" t="s">
        <v>56</v>
      </c>
      <c r="G10" s="237" t="s">
        <v>57</v>
      </c>
      <c r="H10" s="237" t="s">
        <v>19</v>
      </c>
      <c r="I10" s="237" t="s">
        <v>75</v>
      </c>
      <c r="J10" s="237" t="s">
        <v>76</v>
      </c>
    </row>
    <row r="11" spans="1:11" customFormat="1">
      <c r="B11" s="234"/>
      <c r="C11" s="234"/>
      <c r="D11" s="236"/>
      <c r="E11" s="235"/>
      <c r="F11" s="235"/>
      <c r="G11" s="235"/>
      <c r="H11" s="235"/>
      <c r="I11" s="235"/>
      <c r="J11" s="235"/>
    </row>
    <row r="12" spans="1:11" customFormat="1">
      <c r="B12" s="234"/>
      <c r="C12" s="234"/>
      <c r="D12" s="236"/>
      <c r="E12" s="235"/>
      <c r="F12" s="235"/>
      <c r="G12" s="235"/>
      <c r="H12" s="235"/>
      <c r="I12" s="235"/>
      <c r="J12" s="235"/>
    </row>
    <row r="13" spans="1:11" customFormat="1">
      <c r="B13" s="234"/>
      <c r="C13" s="234"/>
      <c r="D13" s="236"/>
      <c r="E13" s="235"/>
      <c r="F13" s="235"/>
      <c r="G13" s="235"/>
      <c r="H13" s="235"/>
      <c r="I13" s="235"/>
      <c r="J13" s="235"/>
    </row>
    <row r="14" spans="1:11" customFormat="1">
      <c r="B14" s="234"/>
      <c r="C14" s="234"/>
      <c r="D14" s="236"/>
      <c r="E14" s="235"/>
      <c r="F14" s="235"/>
      <c r="G14" s="235"/>
      <c r="H14" s="235"/>
      <c r="I14" s="235"/>
      <c r="J14" s="235"/>
    </row>
    <row r="15" spans="1:11" customFormat="1">
      <c r="B15" s="234"/>
      <c r="C15" s="234"/>
      <c r="D15" s="236"/>
      <c r="E15" s="235"/>
      <c r="F15" s="235"/>
      <c r="G15" s="235"/>
      <c r="H15" s="235"/>
      <c r="I15" s="235"/>
      <c r="J15" s="235"/>
    </row>
    <row r="16" spans="1:11" customFormat="1">
      <c r="B16" s="234"/>
      <c r="C16" s="234"/>
      <c r="D16" s="236"/>
      <c r="E16" s="235"/>
      <c r="F16" s="235"/>
      <c r="G16" s="235"/>
      <c r="H16" s="235"/>
      <c r="I16" s="235"/>
      <c r="J16" s="235"/>
    </row>
    <row r="17" spans="2:10" customFormat="1">
      <c r="B17" s="234"/>
      <c r="C17" s="234"/>
      <c r="D17" s="236"/>
      <c r="E17" s="235"/>
      <c r="F17" s="235"/>
      <c r="G17" s="235"/>
      <c r="H17" s="235"/>
      <c r="I17" s="235"/>
      <c r="J17" s="235"/>
    </row>
    <row r="18" spans="2:10" customFormat="1">
      <c r="B18" s="234"/>
      <c r="C18" s="234"/>
      <c r="D18" s="236"/>
      <c r="E18" s="235"/>
      <c r="F18" s="235"/>
      <c r="G18" s="235"/>
      <c r="H18" s="235"/>
      <c r="I18" s="235"/>
      <c r="J18" s="235"/>
    </row>
    <row r="19" spans="2:10" customFormat="1">
      <c r="B19" s="234"/>
      <c r="C19" s="234"/>
      <c r="D19" s="236"/>
      <c r="E19" s="235"/>
      <c r="F19" s="235"/>
      <c r="G19" s="235"/>
      <c r="H19" s="235"/>
      <c r="I19" s="235"/>
      <c r="J19" s="235"/>
    </row>
    <row r="20" spans="2:10" customFormat="1">
      <c r="B20" s="234"/>
      <c r="C20" s="234"/>
      <c r="D20" s="236"/>
      <c r="E20" s="235"/>
      <c r="F20" s="235"/>
      <c r="G20" s="235"/>
      <c r="H20" s="235"/>
      <c r="I20" s="235"/>
      <c r="J20" s="235"/>
    </row>
    <row r="21" spans="2:10" customFormat="1">
      <c r="B21" s="234"/>
      <c r="C21" s="234"/>
      <c r="D21" s="236"/>
      <c r="E21" s="235"/>
      <c r="F21" s="235"/>
      <c r="G21" s="235"/>
      <c r="H21" s="235"/>
      <c r="I21" s="235"/>
      <c r="J21" s="235"/>
    </row>
  </sheetData>
  <mergeCells count="1">
    <mergeCell ref="A1:J1"/>
  </mergeCells>
  <pageMargins left="0.7" right="0.7" top="0.75" bottom="0.75" header="0.3" footer="0.3"/>
  <pageSetup scale="68" orientation="portrait" horizontalDpi="360" verticalDpi="360" r:id="rId1"/>
  <colBreaks count="1" manualBreakCount="1">
    <brk id="1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7E4DC-320D-4AD8-975E-DDFF8B1F2ECC}">
  <sheetPr codeName="Hoja4"/>
  <dimension ref="A2:F13"/>
  <sheetViews>
    <sheetView zoomScale="145" zoomScaleNormal="145" workbookViewId="0">
      <selection activeCell="B13" sqref="B13"/>
    </sheetView>
  </sheetViews>
  <sheetFormatPr baseColWidth="10" defaultColWidth="11.42578125" defaultRowHeight="12.75"/>
  <cols>
    <col min="1" max="1" width="21.140625" style="239" customWidth="1"/>
    <col min="2" max="2" width="14" style="240" customWidth="1"/>
    <col min="3" max="3" width="11.42578125" style="240" customWidth="1"/>
    <col min="4" max="4" width="11.42578125" style="239" customWidth="1"/>
    <col min="5" max="16384" width="11.42578125" style="238"/>
  </cols>
  <sheetData>
    <row r="2" spans="1:6">
      <c r="A2" s="241" t="s">
        <v>86</v>
      </c>
      <c r="B2" s="241" t="s">
        <v>96</v>
      </c>
    </row>
    <row r="3" spans="1:6">
      <c r="A3" s="241" t="s">
        <v>87</v>
      </c>
      <c r="B3" s="242" t="s">
        <v>97</v>
      </c>
      <c r="C3" s="239" t="str">
        <f>_xlfn.CONCAT(IF(NSG!F9&lt;10,0,""),NSG!F9,B3,"/23")</f>
        <v>08CORNOV/23</v>
      </c>
    </row>
    <row r="4" spans="1:6">
      <c r="A4" s="241" t="s">
        <v>2</v>
      </c>
      <c r="B4" s="243">
        <f>NSG!C6</f>
        <v>20603718489</v>
      </c>
      <c r="F4" s="244"/>
    </row>
    <row r="5" spans="1:6">
      <c r="A5" s="241" t="s">
        <v>88</v>
      </c>
      <c r="B5" s="243" t="s">
        <v>99</v>
      </c>
    </row>
    <row r="6" spans="1:6">
      <c r="A6" s="241" t="s">
        <v>89</v>
      </c>
      <c r="B6" s="245">
        <f>NSG!F10</f>
        <v>45813</v>
      </c>
    </row>
    <row r="7" spans="1:6">
      <c r="A7" s="241" t="s">
        <v>82</v>
      </c>
      <c r="B7" s="245">
        <f>MAX(NSG!E16:E53)</f>
        <v>45863</v>
      </c>
    </row>
    <row r="8" spans="1:6" s="248" customFormat="1" ht="12">
      <c r="A8" s="246" t="s">
        <v>90</v>
      </c>
      <c r="B8" s="247" t="str">
        <f>TEXT(NSG!C95,"#,#.00")</f>
        <v>7,435.54</v>
      </c>
      <c r="C8" s="247" t="str">
        <f>_xlfn.CONCAT(IF(NSG!I16="USD",IF(NSG!J14=1,"USD","PEN"),"PEN")," ",B8)</f>
        <v>PEN 7,435.54</v>
      </c>
    </row>
    <row r="9" spans="1:6" s="248" customFormat="1" ht="14.25">
      <c r="A9" s="246" t="s">
        <v>91</v>
      </c>
      <c r="B9" s="249" t="e" cm="1">
        <f t="array" aca="1" ref="B9" ca="1">NumLetras(B8)</f>
        <v>#NAME?</v>
      </c>
      <c r="C9" s="250" t="str">
        <f>LEFT(C8,3)</f>
        <v>PEN</v>
      </c>
      <c r="D9" s="254" t="e">
        <f ca="1">_xlfn.CONCAT(B9,IF(C9="PEN"," SOLES",IF(C9="USD"," DOLARES DE ESTADOS UNIDOS DE AMERICA"," EUROS")))</f>
        <v>#NAME?</v>
      </c>
    </row>
    <row r="10" spans="1:6">
      <c r="A10" s="241" t="s">
        <v>92</v>
      </c>
      <c r="B10" s="241" t="str">
        <f>UPPER(CLIENTE!G119)</f>
        <v>SUSY ELIZABETH GARCIA SALIRROSAS</v>
      </c>
    </row>
    <row r="11" spans="1:6">
      <c r="A11" s="241" t="s">
        <v>93</v>
      </c>
      <c r="B11" s="241" t="str">
        <f>CLIENTE!C111</f>
        <v>DNI 43371978</v>
      </c>
      <c r="C11" s="239" t="str">
        <f>_xlfn.CONCAT(MID(B11,1,FIND(" ",B11,1)-1)," : ")</f>
        <v xml:space="preserve">DNI : </v>
      </c>
      <c r="D11" s="241" t="str">
        <f>MID(B11,FIND(" ",B11)+1,LEN(B11)-FIND(" ",B11))</f>
        <v>43371978</v>
      </c>
    </row>
    <row r="12" spans="1:6">
      <c r="A12" s="241" t="s">
        <v>94</v>
      </c>
      <c r="B12" s="241" t="s">
        <v>99</v>
      </c>
    </row>
    <row r="13" spans="1:6">
      <c r="A13" s="241" t="s">
        <v>95</v>
      </c>
      <c r="B13" s="241" t="s">
        <v>98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CLIENTE</vt:lpstr>
      <vt:lpstr>NSG</vt:lpstr>
      <vt:lpstr>LETRA</vt:lpstr>
      <vt:lpstr>LIQUIDACION</vt:lpstr>
      <vt:lpstr>Datos</vt:lpstr>
      <vt:lpstr>CLIENTE!Área_de_impresión</vt:lpstr>
      <vt:lpstr>LETRA!Área_de_impresión</vt:lpstr>
      <vt:lpstr>LIQUIDACION!Área_de_impresión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Antonio Llaja</dc:creator>
  <cp:lastModifiedBy>Lucy Carpio Rojas</cp:lastModifiedBy>
  <cp:lastPrinted>2025-06-05T16:40:07Z</cp:lastPrinted>
  <dcterms:created xsi:type="dcterms:W3CDTF">2022-11-16T16:50:37Z</dcterms:created>
  <dcterms:modified xsi:type="dcterms:W3CDTF">2025-06-05T16:41:28Z</dcterms:modified>
</cp:coreProperties>
</file>